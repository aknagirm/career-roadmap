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earning\Gen-AI\career-roadmap\"/>
    </mc:Choice>
  </mc:AlternateContent>
  <xr:revisionPtr revIDLastSave="0" documentId="13_ncr:1_{5286899E-C432-4847-935E-532733EDB3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📊 Dashboard" sheetId="1" r:id="rId1"/>
    <sheet name="🗺 Master Roadmap" sheetId="2" r:id="rId2"/>
    <sheet name="📅 Daily Planner" sheetId="3" r:id="rId3"/>
    <sheet name="🔁 Revision Tracker" sheetId="4" r:id="rId4"/>
    <sheet name="🎤 Mock Interviews" sheetId="5" r:id="rId5"/>
    <sheet name="💬 Behavioral Stori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B5" i="1"/>
  <c r="A5" i="1"/>
</calcChain>
</file>

<file path=xl/sharedStrings.xml><?xml version="1.0" encoding="utf-8"?>
<sst xmlns="http://schemas.openxmlformats.org/spreadsheetml/2006/main" count="2419" uniqueCount="768">
  <si>
    <t>🎯  Interview Prep Tracker – Mriganka Sekhar Sarkar</t>
  </si>
  <si>
    <t>Boeing → Product Company | 30-Week Interview Preparation Program</t>
  </si>
  <si>
    <t>Current Week</t>
  </si>
  <si>
    <t>Topics Completed</t>
  </si>
  <si>
    <t>Total Days</t>
  </si>
  <si>
    <t>Study Hrs (Planned)</t>
  </si>
  <si>
    <t>Mock Interviews</t>
  </si>
  <si>
    <t>Phase</t>
  </si>
  <si>
    <t>PHASE ROADMAP</t>
  </si>
  <si>
    <t>Weeks</t>
  </si>
  <si>
    <t>Focus</t>
  </si>
  <si>
    <t>Goal</t>
  </si>
  <si>
    <t>Phase 1</t>
  </si>
  <si>
    <t>Weeks  1–4</t>
  </si>
  <si>
    <t>JavaScript</t>
  </si>
  <si>
    <t>Rock-solid JS foundation</t>
  </si>
  <si>
    <t>Phase 2</t>
  </si>
  <si>
    <t>Weeks  5–6</t>
  </si>
  <si>
    <t>TypeScript</t>
  </si>
  <si>
    <t>Advanced types mastery</t>
  </si>
  <si>
    <t>Phase 3</t>
  </si>
  <si>
    <t>Weeks  7–12</t>
  </si>
  <si>
    <t>Angular</t>
  </si>
  <si>
    <t>Deep Angular + RxJS + NgRx</t>
  </si>
  <si>
    <t>Phase 4</t>
  </si>
  <si>
    <t>Weeks 13–16</t>
  </si>
  <si>
    <t>Frontend Sys Design</t>
  </si>
  <si>
    <t>All major FE design patterns</t>
  </si>
  <si>
    <t>Phase 5</t>
  </si>
  <si>
    <t>Weeks 17–21</t>
  </si>
  <si>
    <t>Backend + HTTP + Security</t>
  </si>
  <si>
    <t>Node, REST, JWT, CORS, XSS, OAuth</t>
  </si>
  <si>
    <t>Phase 6</t>
  </si>
  <si>
    <t>Weeks 22–26</t>
  </si>
  <si>
    <t>AI Engineering</t>
  </si>
  <si>
    <t>RAG, Agents, MCP, LangGraph</t>
  </si>
  <si>
    <t>Phase 7</t>
  </si>
  <si>
    <t>Weeks 27–30</t>
  </si>
  <si>
    <t>Revision &amp; Apply</t>
  </si>
  <si>
    <t>Mock loops, apply, negotiate</t>
  </si>
  <si>
    <t>💡 KEY TIPS</t>
  </si>
  <si>
    <t>• Mon–Fri: Same core topic all week. Different sub-topics each day. Deep learning, not scatter.</t>
  </si>
  <si>
    <t>• Wed always adds DSA. Thu always adds AI/System Design. Fri always adds LeetCode + Behavioral.</t>
  </si>
  <si>
    <t>• Saturday = Mock Interview (NON-NEGOTIABLE). This is where real interview skills are built.</t>
  </si>
  <si>
    <t>• Sunday = Rest + Project + Portfolio. Protect this day from overwork.</t>
  </si>
  <si>
    <t>• Use Sheet 4 (Revision Tracker) after each topic. Spaced repetition beats re-reading.</t>
  </si>
  <si>
    <t>• Biggest differentiator: AI Engineering (MCP, LangGraph, Claude at Boeing). Lead with this.</t>
  </si>
  <si>
    <t>• Start applying from Week 17 (Month 4). Real interviews teach more than mock prep.</t>
  </si>
  <si>
    <t>• Security topics (CORS, XSS, CSRF, JWT/OAuth attacks) are asked in senior interviews. Know them well.</t>
  </si>
  <si>
    <t>Week Cluster</t>
  </si>
  <si>
    <t>Lesson / Topic</t>
  </si>
  <si>
    <t>Status</t>
  </si>
  <si>
    <t>JS Week 1: Execution Context &amp; Scope</t>
  </si>
  <si>
    <t>Scope Chain, Lexical Scope, Hoisting (var/let/const/functions)</t>
  </si>
  <si>
    <t>⬜ Not Started</t>
  </si>
  <si>
    <t>Closures – definition, practical uses, closure traps</t>
  </si>
  <si>
    <t>Closures – memoization, module pattern, IIFE</t>
  </si>
  <si>
    <t>Coding: write 3 closure exercises from scratch</t>
  </si>
  <si>
    <t>JS Week 2: this, Prototype, OOP</t>
  </si>
  <si>
    <t>call / apply / bind – implement bind from scratch</t>
  </si>
  <si>
    <t>Prototype &amp; Prototype Chain – draw the chain</t>
  </si>
  <si>
    <t>Class syntax vs Prototype – Object.create patterns</t>
  </si>
  <si>
    <t>Coding: implement inheritance two ways (class &amp; prototype)</t>
  </si>
  <si>
    <t>JS Week 3: Async JavaScript</t>
  </si>
  <si>
    <t>Promises – creation, chaining, Promise.all/race/allSettled</t>
  </si>
  <si>
    <t>async / await – patterns, error handling, parallel vs sequential</t>
  </si>
  <si>
    <t>Microtasks vs Macrotasks – setTimeout vs queueMicrotask</t>
  </si>
  <si>
    <t>Coding: implement Promise.all and Promise.race from scratch</t>
  </si>
  <si>
    <t>JS Week 4: Advanced JS &amp; Browser APIs</t>
  </si>
  <si>
    <t>Debouncing &amp; Throttling – implement both from scratch</t>
  </si>
  <si>
    <t>Web Workers – Dedicated, Shared, Service Workers + postMessage + SharedArrayBuffer</t>
  </si>
  <si>
    <t>WeakMap/WeakRef, Generators, Modules (ESM vs CJS), Memory Leaks</t>
  </si>
  <si>
    <t>Coding: debounce + throttle + Web Worker for heavy computation from scratch</t>
  </si>
  <si>
    <t>TS Week 1: Types &amp; Generics</t>
  </si>
  <si>
    <t>Generics – functions, classes, constraints, defaults</t>
  </si>
  <si>
    <t>Utility Types – Partial, Required, Pick, Omit, Record, Readonly</t>
  </si>
  <si>
    <t>Mapped Types – transform every key of a type</t>
  </si>
  <si>
    <t>Coding: build a type-safe API response wrapper with generics</t>
  </si>
  <si>
    <t>TS Week 2: Advanced Types</t>
  </si>
  <si>
    <t>Template Literal Types, `satisfies` operator</t>
  </si>
  <si>
    <t>Type Narrowing – typeof, instanceof, discriminated unions</t>
  </si>
  <si>
    <t>Decorators, ReturnType, Parameters, advanced inference</t>
  </si>
  <si>
    <t>Coding: build a type-safe form validation library</t>
  </si>
  <si>
    <t>Angular Week 1: Core Architecture</t>
  </si>
  <si>
    <t>Component Lifecycle Hooks – all 8 hooks with use cases</t>
  </si>
  <si>
    <t>Dependency Injection – providers, InjectionToken, hierarchical DI</t>
  </si>
  <si>
    <t>`inject()` function vs constructor DI – when to use which</t>
  </si>
  <si>
    <t>Coding: build a component with all lifecycle hooks logged</t>
  </si>
  <si>
    <t>Angular Week 2: Standalone &amp; New APIs</t>
  </si>
  <si>
    <t>New control flow – @if, @for, @switch (vs old *ngIf, *ngFor)</t>
  </si>
  <si>
    <t>Deferrable Views – @defer, @placeholder, @loading, @error</t>
  </si>
  <si>
    <t>Signals – intro, signal(), computed(), effect()</t>
  </si>
  <si>
    <t>Coding: refactor an NgModule app to fully standalone</t>
  </si>
  <si>
    <t>Angular Week 3: Change Detection &amp; Performance</t>
  </si>
  <si>
    <t>Change Detection – OnPush strategy, ChangeDetectorRef</t>
  </si>
  <si>
    <t>Signals – toSignal(), toObservable(), signal-based components</t>
  </si>
  <si>
    <t>Performance – trackBy, virtual scroll, lazy images</t>
  </si>
  <si>
    <t>Coding: optimize a slow list with OnPush + trackBy</t>
  </si>
  <si>
    <t>Angular Week 4: RxJS</t>
  </si>
  <si>
    <t>RxJS – switchMap vs mergeMap vs concatMap vs exhaustMap</t>
  </si>
  <si>
    <t>RxJS – BehaviorSubject, ReplaySubject, combineLatest, forkJoin</t>
  </si>
  <si>
    <t>RxJS – takeUntilDestroyed, marble testing, custom operators</t>
  </si>
  <si>
    <t>Coding: build a type-ahead search with RxJS operators</t>
  </si>
  <si>
    <t>Angular Week 5: NgRx &amp; Routing</t>
  </si>
  <si>
    <t>NgRx – Effects, createEffect, ofType, error handling</t>
  </si>
  <si>
    <t>NgRx – Selectors, createSelector, memoization</t>
  </si>
  <si>
    <t>Routing – Guards (CanActivate, CanDeactivate), Interceptors, Lazy Loading</t>
  </si>
  <si>
    <t>Coding: implement a full NgRx feature slice with effects</t>
  </si>
  <si>
    <t>Angular Week 6: SSR, Testing &amp; Micro Frontends</t>
  </si>
  <si>
    <t>Hydration – full &amp; partial hydration</t>
  </si>
  <si>
    <t>Angular Testing – unit tests (Jasmine/Karma), TestBed, async</t>
  </si>
  <si>
    <t>Angular Testing Library, E2E basics (Playwright)</t>
  </si>
  <si>
    <t>Micro Frontends – Module Federation with Angular</t>
  </si>
  <si>
    <t>System Design</t>
  </si>
  <si>
    <t>SD Week 1: Fundamentals</t>
  </si>
  <si>
    <t>Frontend performance – Core Web Vitals, lazy loading, code splitting</t>
  </si>
  <si>
    <t>Design Systems &amp; Component Libraries – tokens, variants, theming</t>
  </si>
  <si>
    <t>Component API design – props, events, slots, composition patterns</t>
  </si>
  <si>
    <t>Coding: design a themeable Button component system</t>
  </si>
  <si>
    <t>SD Week 2: Applications</t>
  </si>
  <si>
    <t>Design a Chat Application – WebSockets, presence, message sync</t>
  </si>
  <si>
    <t>Design YouTube Frontend – video player, recommendations, feeds</t>
  </si>
  <si>
    <t>Design Google Docs – collaborative editing, OT/CRDT basics</t>
  </si>
  <si>
    <t>Practice: 45-min whiteboard for any of the above</t>
  </si>
  <si>
    <t>SD Week 3: Auth, APIs &amp; Scale</t>
  </si>
  <si>
    <t>Dashboard design – real-time data, polling vs WebSockets vs SSE</t>
  </si>
  <si>
    <t>File Upload system – chunked upload, progress, retry</t>
  </si>
  <si>
    <t>Notification system – push, in-app, email coordination</t>
  </si>
  <si>
    <t>Practice: 45-min design for File Upload or Notification system</t>
  </si>
  <si>
    <t>SD Week 4: Advanced Patterns</t>
  </si>
  <si>
    <t>Autocomplete / Typeahead – debounce, caching, accessibility</t>
  </si>
  <si>
    <t>Rate Limiter (frontend) – token bucket, UX patterns</t>
  </si>
  <si>
    <t>Design Token System – multi-brand theming at scale</t>
  </si>
  <si>
    <t>Practice: 45-min design for Micro Frontends or Autocomplete</t>
  </si>
  <si>
    <t>Backend</t>
  </si>
  <si>
    <t>Backend Week 1: Node.js &amp; Express</t>
  </si>
  <si>
    <t>ExpressJS – middleware chain, routing, error handling patterns</t>
  </si>
  <si>
    <t>REST API design – versioning, HATEOAS, status codes, pagination</t>
  </si>
  <si>
    <t>Middleware patterns – logging, rate limiting, validation</t>
  </si>
  <si>
    <t>Coding: build a REST API with Express + error middleware</t>
  </si>
  <si>
    <t>Backend Week 2: HTTP Deep Dive</t>
  </si>
  <si>
    <t>HTTPS – TLS handshake, certificates, mixed content</t>
  </si>
  <si>
    <t>HTTP/2 – multiplexing, header compression, server push</t>
  </si>
  <si>
    <t>HTTP/3 – QUIC protocol, 0-RTT, why it matters</t>
  </si>
  <si>
    <t>Caching – Cache-Control, ETag, Last-Modified, CDN caching layers</t>
  </si>
  <si>
    <t>Backend Week 3: Security</t>
  </si>
  <si>
    <t>CSP (Content Security Policy) – directives, nonce, strict-dynamic</t>
  </si>
  <si>
    <t>XSS – reflected, stored, DOM-based – prevention &amp; sanitization</t>
  </si>
  <si>
    <t>CSRF – SameSite cookies, CSRF tokens, double-submit pattern</t>
  </si>
  <si>
    <t>JWT attacks – alg:none, weak secrets, expiry bypass | OAuth attacks – redirect_uri, PKCE</t>
  </si>
  <si>
    <t>Backend Week 4: Databases &amp; Auth</t>
  </si>
  <si>
    <t>OAuth 2.0 – authorization code + PKCE flow end-to-end</t>
  </si>
  <si>
    <t>SQL – joins, indexes, query optimization, EXPLAIN</t>
  </si>
  <si>
    <t>MongoDB – aggregation pipeline, indexes, atlas search</t>
  </si>
  <si>
    <t>Redis – caching patterns, pub/sub, session storage</t>
  </si>
  <si>
    <t>Backend Week 5: Infrastructure</t>
  </si>
  <si>
    <t>Spring Boot basics – controllers, services, JPA, REST</t>
  </si>
  <si>
    <t>WebSockets – ws protocol, rooms, scaling with Redis adapter</t>
  </si>
  <si>
    <t>GraphQL basics – schema, resolvers, N+1 problem</t>
  </si>
  <si>
    <t>CDN &amp; Compression – Brotli/Gzip, CDN edge caching, cache invalidation</t>
  </si>
  <si>
    <t>AI Week 1: LLM Fundamentals</t>
  </si>
  <si>
    <t>Prompt Engineering – zero-shot, few-shot, CoT, ReAct prompting</t>
  </si>
  <si>
    <t>OpenAI API – chat completions, streaming, function calling</t>
  </si>
  <si>
    <t>Claude API – tool use, system prompts, caching</t>
  </si>
  <si>
    <t>Coding: build a multi-turn chat with function calling</t>
  </si>
  <si>
    <t>AI Week 2: RAG &amp; Embeddings</t>
  </si>
  <si>
    <t>Vector Databases – Chroma, Pinecone, pgvector – setup &amp; query</t>
  </si>
  <si>
    <t>RAG – chunking strategies, retrieval, re-ranking</t>
  </si>
  <si>
    <t>RAG – evaluation (context recall, answer relevance)</t>
  </si>
  <si>
    <t>Coding: build a RAG pipeline over a PDF document</t>
  </si>
  <si>
    <t>AI Week 3: Agents &amp; Tools</t>
  </si>
  <si>
    <t>LangChain – chains, agents, memory, LCEL</t>
  </si>
  <si>
    <t>LangGraph – stateful agentic workflows, human-in-the-loop</t>
  </si>
  <si>
    <t>MCP (Model Context Protocol) – architecture, tools, resources</t>
  </si>
  <si>
    <t>Coding: build a multi-tool agent (web search + code executor)</t>
  </si>
  <si>
    <t>AI Week 4: Production AI</t>
  </si>
  <si>
    <t>Ollama – local model serving, API, model management</t>
  </si>
  <si>
    <t>Amazon Q / Bedrock – integration patterns, enterprise use</t>
  </si>
  <si>
    <t>AI safety – guardrails, content filtering, hallucination mitigation</t>
  </si>
  <si>
    <t>Coding: add streaming to convopro_chatgpt app</t>
  </si>
  <si>
    <t>AI Week 5: AI Engineering Review</t>
  </si>
  <si>
    <t>LlamaIndex – document loading, indexing, query engines</t>
  </si>
  <si>
    <t>AI system design – latency, cost, caching, fallbacks</t>
  </si>
  <si>
    <t>Review all AI topics + prepare Boeing AI story for interviews</t>
  </si>
  <si>
    <t>Coding: polish convopro_chatgpt – final features + deploy</t>
  </si>
  <si>
    <t>Rev Week 1: Frontend Consolidation</t>
  </si>
  <si>
    <t>Revise: Angular top 20 interview questions (write answers)</t>
  </si>
  <si>
    <t>Revise: TypeScript advanced patterns</t>
  </si>
  <si>
    <t>Revise: RxJS operators – code each from memory</t>
  </si>
  <si>
    <t>Mock coding round: 2 medium problems timed</t>
  </si>
  <si>
    <t>Rev Week 2: System Design Consolidation</t>
  </si>
  <si>
    <t>Revise: Backend – HTTP, Security, REST</t>
  </si>
  <si>
    <t>Revise: all DSA patterns – write cheatsheet</t>
  </si>
  <si>
    <t>Revise: AI Engineering talking points for interviews</t>
  </si>
  <si>
    <t>Mock: Full system design round (60 min)</t>
  </si>
  <si>
    <t>Rev Week 3: Full Mock Loop 1</t>
  </si>
  <si>
    <t>Full mock: Angular + TypeScript Q&amp;A (45 min)</t>
  </si>
  <si>
    <t>Full mock: System Design round (60 min)</t>
  </si>
  <si>
    <t>Full mock: Behavioral round (45 min)</t>
  </si>
  <si>
    <t>Debrief: identify weak areas, update revision plan</t>
  </si>
  <si>
    <t>Rev Week 4: Final Prep &amp; Apply</t>
  </si>
  <si>
    <t>Company-specific prep: Atlassian / Adobe / Flipkart</t>
  </si>
  <si>
    <t>Company-specific prep: Razorpay / Salesforce / LinkedIn</t>
  </si>
  <si>
    <t>Full mock loop simulation (full day)</t>
  </si>
  <si>
    <t>Final review: personal pitch, salary negotiation, questions to ask</t>
  </si>
  <si>
    <t>Week</t>
  </si>
  <si>
    <t>Month</t>
  </si>
  <si>
    <t>Week Focus</t>
  </si>
  <si>
    <t>Date</t>
  </si>
  <si>
    <t>Day</t>
  </si>
  <si>
    <t>Focus Area</t>
  </si>
  <si>
    <t>Today's Topic / Task</t>
  </si>
  <si>
    <t>Planned Hrs</t>
  </si>
  <si>
    <t>Actual Hrs</t>
  </si>
  <si>
    <t>Done</t>
  </si>
  <si>
    <t>Coding Done</t>
  </si>
  <si>
    <t>Notes</t>
  </si>
  <si>
    <t>━━━  JAVASCRIPT  ━━━</t>
  </si>
  <si>
    <t>Month 1</t>
  </si>
  <si>
    <t>21 Jul 2026</t>
  </si>
  <si>
    <t>Tuesday</t>
  </si>
  <si>
    <t>[Core] Scope Chain, Lexical Scope, Hoisting (var/let/const/functions)</t>
  </si>
  <si>
    <t>22 Jul 2026</t>
  </si>
  <si>
    <t>Wednesday</t>
  </si>
  <si>
    <t>JavaScript + DSA</t>
  </si>
  <si>
    <t>[Core] Closures – definition, practical uses, closure traps  |  [DSA] Arrays – Two Sum, Max Subarray (implement)</t>
  </si>
  <si>
    <t>23 Jul 2026</t>
  </si>
  <si>
    <t>Thursday</t>
  </si>
  <si>
    <t>JavaScript + Long-term</t>
  </si>
  <si>
    <t>[Core] Closures – memoization, module pattern, IIFE  |  [Layer3] System Design: Browser Rendering &amp; Critical Path</t>
  </si>
  <si>
    <t>24 Jul 2026</t>
  </si>
  <si>
    <t>Friday</t>
  </si>
  <si>
    <t>JavaScript + LeetCode + Behavioral</t>
  </si>
  <si>
    <t>[Core] Coding: write 3 closure exercises from scratch  |  [LC] 2 Mediums: Arrays/Strings  |  [Behavioral] STAR: AngularJS→Angular 12 migration</t>
  </si>
  <si>
    <t>25 Jul 2026</t>
  </si>
  <si>
    <t>Saturday</t>
  </si>
  <si>
    <t>Mock + Revision + Project</t>
  </si>
  <si>
    <t>[Mock] Mock: Angular lifecycle &amp; Change Detection Q&amp;A  |  Revise weak areas from this week</t>
  </si>
  <si>
    <t>26 Jul 2026</t>
  </si>
  <si>
    <t>Sunday</t>
  </si>
  <si>
    <t>Reading + Portfolio + Rest</t>
  </si>
  <si>
    <t>Project: convopro_chatgpt – plan streaming feature</t>
  </si>
  <si>
    <t>27 Jul 2026</t>
  </si>
  <si>
    <t>Monday</t>
  </si>
  <si>
    <t>[Core] Execution Context, Call Stack, Variable Environment</t>
  </si>
  <si>
    <t>28 Jul 2026</t>
  </si>
  <si>
    <t>[Core] call / apply / bind – implement bind from scratch</t>
  </si>
  <si>
    <t>29 Jul 2026</t>
  </si>
  <si>
    <t>[Core] Prototype &amp; Prototype Chain – draw the chain  |  [DSA] Arrays – Rotation, Dutch National Flag</t>
  </si>
  <si>
    <t>30 Jul 2026</t>
  </si>
  <si>
    <t>[Core] Class syntax vs Prototype – Object.create patterns  |  [Layer3] AI: LLM Fundamentals &amp; Prompt Engineering</t>
  </si>
  <si>
    <t>31 Jul 2026</t>
  </si>
  <si>
    <t>[Core] Coding: implement inheritance two ways (class &amp; prototype)  |  [LC] 2 Mediums: HashMap/Two Pointer  |  [Behavioral] STAR: Leading 25-engineer team</t>
  </si>
  <si>
    <t>01 Aug 2026</t>
  </si>
  <si>
    <t>[Mock] Mock: JavaScript async &amp; closures Q&amp;A  |  Revise weak areas from this week</t>
  </si>
  <si>
    <t>02 Aug 2026</t>
  </si>
  <si>
    <t>Read: JavaScript.info – advanced chapters</t>
  </si>
  <si>
    <t>03 Aug 2026</t>
  </si>
  <si>
    <t>[Core] `this` keyword – all 4 rules (implicit, explicit, new, arrow)</t>
  </si>
  <si>
    <t>04 Aug 2026</t>
  </si>
  <si>
    <t>[Core] Promises – creation, chaining, Promise.all/race/allSettled</t>
  </si>
  <si>
    <t>05 Aug 2026</t>
  </si>
  <si>
    <t>[Core] async / await – patterns, error handling, parallel vs sequential  |  [DSA] Strings – Anagram, Palindrome (implement)</t>
  </si>
  <si>
    <t>06 Aug 2026</t>
  </si>
  <si>
    <t>[Core] Microtasks vs Macrotasks – setTimeout vs queueMicrotask  |  [Layer3] System Design: Design an E-commerce Frontend</t>
  </si>
  <si>
    <t>07 Aug 2026</t>
  </si>
  <si>
    <t>[Core] Coding: implement Promise.all and Promise.race from scratch  |  [LC] 2 Mediums: Trees/BFS/DFS  |  [Behavioral] STAR: TypeScript standards adoption</t>
  </si>
  <si>
    <t>08 Aug 2026</t>
  </si>
  <si>
    <t>[Mock] Mock: TypeScript generics &amp; mapped types  |  Revise weak areas from this week</t>
  </si>
  <si>
    <t>09 Aug 2026</t>
  </si>
  <si>
    <t>Project: Add streaming response to chatgpt app</t>
  </si>
  <si>
    <t>10 Aug 2026</t>
  </si>
  <si>
    <t>[Core] Event Loop – call stack, task queue, microtask queue (draw it)</t>
  </si>
  <si>
    <t>11 Aug 2026</t>
  </si>
  <si>
    <t>[Core] Debouncing &amp; Throttling – implement both from scratch</t>
  </si>
  <si>
    <t>12 Aug 2026</t>
  </si>
  <si>
    <t>[Core] Web Workers – Dedicated, Shared, Service Workers + postMessage + SharedArrayBuffer  |  [DSA] Strings – Sliding Window pattern</t>
  </si>
  <si>
    <t>13 Aug 2026</t>
  </si>
  <si>
    <t>[Core] WeakMap/WeakRef, Generators, Modules (ESM vs CJS), Memory Leaks  |  [Layer3] AI: OpenAI API &amp; Function Calling</t>
  </si>
  <si>
    <t>14 Aug 2026</t>
  </si>
  <si>
    <t>[Core] Coding: debounce + throttle + Web Worker for heavy computation from scratch  |  [LC] 2 Mediums: Binary Search  |  [Behavioral] STAR: AI workflow automation at Boeing</t>
  </si>
  <si>
    <t>15 Aug 2026</t>
  </si>
  <si>
    <t>[Mock] Mock: Angular RxJS patterns Q&amp;A  |  Revise weak areas from this week</t>
  </si>
  <si>
    <t>16 Aug 2026</t>
  </si>
  <si>
    <t>Read: Angular blog – Signals deep dive</t>
  </si>
  <si>
    <t>17 Aug 2026</t>
  </si>
  <si>
    <t>[Core] Event Delegation, Bubbling, Capturing – implement custom event system</t>
  </si>
  <si>
    <t>━━━  TYPESCRIPT  ━━━</t>
  </si>
  <si>
    <t>Month 2</t>
  </si>
  <si>
    <t>18 Aug 2026</t>
  </si>
  <si>
    <t>[Core] Generics – functions, classes, constraints, defaults</t>
  </si>
  <si>
    <t>19 Aug 2026</t>
  </si>
  <si>
    <t>TypeScript + DSA</t>
  </si>
  <si>
    <t>[Core] Utility Types – Partial, Required, Pick, Omit, Record, Readonly  |  [DSA] Hash Maps – Frequency counter pattern</t>
  </si>
  <si>
    <t>20 Aug 2026</t>
  </si>
  <si>
    <t>TypeScript + Long-term</t>
  </si>
  <si>
    <t>[Core] Mapped Types – transform every key of a type  |  [Layer3] System Design: Design a Chat Application</t>
  </si>
  <si>
    <t>21 Aug 2026</t>
  </si>
  <si>
    <t>TypeScript + LeetCode + Behavioral</t>
  </si>
  <si>
    <t>[Core] Coding: build a type-safe API response wrapper with generics  |  [LC] 2 Mediums: Sliding Window  |  [Behavioral] STAR: Mentoring junior engineers</t>
  </si>
  <si>
    <t>22 Aug 2026</t>
  </si>
  <si>
    <t>[Mock] Mock: Angular NgRx deep dive Q&amp;A  |  Revise weak areas from this week</t>
  </si>
  <si>
    <t>23 Aug 2026</t>
  </si>
  <si>
    <t>Project: Implement RAG in chatgpt app</t>
  </si>
  <si>
    <t>24 Aug 2026</t>
  </si>
  <si>
    <t>[Core] Types vs Interfaces, Union, Intersection, Literal Types</t>
  </si>
  <si>
    <t>25 Aug 2026</t>
  </si>
  <si>
    <t>[Core] Template Literal Types, `satisfies` operator</t>
  </si>
  <si>
    <t>26 Aug 2026</t>
  </si>
  <si>
    <t>[Core] Type Narrowing – typeof, instanceof, discriminated unions  |  [DSA] Hash Maps – Two Pointer + HashMap combo</t>
  </si>
  <si>
    <t>27 Aug 2026</t>
  </si>
  <si>
    <t>[Core] Decorators, ReturnType, Parameters, advanced inference  |  [Layer3] AI: RAG Architecture &amp; Chunking</t>
  </si>
  <si>
    <t>28 Aug 2026</t>
  </si>
  <si>
    <t>[Core] Coding: build a type-safe form validation library  |  [LC] 2 Mediums: Stack/Queue  |  [Behavioral] STAR: Handling technical disagreement</t>
  </si>
  <si>
    <t>29 Aug 2026</t>
  </si>
  <si>
    <t>[Mock] Mock: System Design – Chat App (60 min)  |  Revise weak areas from this week</t>
  </si>
  <si>
    <t>30 Aug 2026</t>
  </si>
  <si>
    <t>Read: LangChain docs – agents</t>
  </si>
  <si>
    <t>31 Aug 2026</t>
  </si>
  <si>
    <t>[Core] Conditional Types – T extends U ? X : Y, infer keyword</t>
  </si>
  <si>
    <t>━━━  ANGULAR  ━━━</t>
  </si>
  <si>
    <t>01 Sep 2026</t>
  </si>
  <si>
    <t>[Core] Component Lifecycle Hooks – all 8 hooks with use cases</t>
  </si>
  <si>
    <t>02 Sep 2026</t>
  </si>
  <si>
    <t>Angular + DSA</t>
  </si>
  <si>
    <t>[Core] Dependency Injection – providers, InjectionToken, hierarchical DI  |  [DSA] Linked List – Reverse, cycle detection (implement)</t>
  </si>
  <si>
    <t>03 Sep 2026</t>
  </si>
  <si>
    <t>Angular + Long-term</t>
  </si>
  <si>
    <t>[Core] `inject()` function vs constructor DI – when to use which  |  [Layer3] System Design: Design YouTube Frontend</t>
  </si>
  <si>
    <t>04 Sep 2026</t>
  </si>
  <si>
    <t>Angular + LeetCode + Behavioral</t>
  </si>
  <si>
    <t>[Core] Coding: build a component with all lifecycle hooks logged  |  [LC] 2 Mediums: Graphs  |  [Behavioral] STAR: Production issue / incident</t>
  </si>
  <si>
    <t>05 Sep 2026</t>
  </si>
  <si>
    <t>[Mock] Mock: System Design – E-commerce (60 min)  |  Revise weak areas from this week</t>
  </si>
  <si>
    <t>06 Sep 2026</t>
  </si>
  <si>
    <t>Project: Add conversation history with MongoDB</t>
  </si>
  <si>
    <t>07 Sep 2026</t>
  </si>
  <si>
    <t>[Core] Angular architecture – modules, components, services overview</t>
  </si>
  <si>
    <t>08 Sep 2026</t>
  </si>
  <si>
    <t>[Core] New control flow – @if, @for, @switch (vs old *ngIf, *ngFor)</t>
  </si>
  <si>
    <t>09 Sep 2026</t>
  </si>
  <si>
    <t>[Core] Deferrable Views – @defer, @placeholder, @loading, @error  |  [DSA] Stack – Valid parentheses, min stack (implement)</t>
  </si>
  <si>
    <t>10 Sep 2026</t>
  </si>
  <si>
    <t>[Core] Signals – intro, signal(), computed(), effect()  |  [Layer3] AI: LangChain – chains, agents, memory</t>
  </si>
  <si>
    <t>11 Sep 2026</t>
  </si>
  <si>
    <t>[Core] Coding: refactor an NgModule app to fully standalone  |  [LC] 2 Mediums: DP basics  |  [Behavioral] STAR: Code review process</t>
  </si>
  <si>
    <t>12 Sep 2026</t>
  </si>
  <si>
    <t>[Mock] Mock: JavaScript advanced coding round  |  Revise weak areas from this week</t>
  </si>
  <si>
    <t>13 Sep 2026</t>
  </si>
  <si>
    <t>Read: Engineering blog – system design at scale</t>
  </si>
  <si>
    <t>14 Sep 2026</t>
  </si>
  <si>
    <t>[Core] Standalone Components – migration from NgModule pattern</t>
  </si>
  <si>
    <t>Month 3</t>
  </si>
  <si>
    <t>15 Sep 2026</t>
  </si>
  <si>
    <t>[Core] Change Detection – OnPush strategy, ChangeDetectorRef</t>
  </si>
  <si>
    <t>16 Sep 2026</t>
  </si>
  <si>
    <t>[Core] Signals – toSignal(), toObservable(), signal-based components  |  [DSA] Queue – BFS traversal (implement)</t>
  </si>
  <si>
    <t>17 Sep 2026</t>
  </si>
  <si>
    <t>[Core] Performance – trackBy, virtual scroll, lazy images  |  [Layer3] System Design: Authentication (OAuth, JWT)</t>
  </si>
  <si>
    <t>18 Sep 2026</t>
  </si>
  <si>
    <t>[Core] Coding: optimize a slow list with OnPush + trackBy  |  [LC] 2 Mediums: Mixed review  |  [Behavioral] STAR: Work estimation &amp; planning</t>
  </si>
  <si>
    <t>19 Sep 2026</t>
  </si>
  <si>
    <t>[Mock] Mock: Behavioral round (45 min)  |  Revise weak areas from this week</t>
  </si>
  <si>
    <t>20 Sep 2026</t>
  </si>
  <si>
    <t>Project: Deploy app to cloud (Vercel/Render)</t>
  </si>
  <si>
    <t>21 Sep 2026</t>
  </si>
  <si>
    <t>[Core] Change Detection – Default strategy deep dive</t>
  </si>
  <si>
    <t>22 Sep 2026</t>
  </si>
  <si>
    <t>[Core] RxJS – switchMap vs mergeMap vs concatMap vs exhaustMap</t>
  </si>
  <si>
    <t>23 Sep 2026</t>
  </si>
  <si>
    <t>[Core] RxJS – BehaviorSubject, ReplaySubject, combineLatest, forkJoin  |  [DSA] Binary Search – Classic &amp; rotated array</t>
  </si>
  <si>
    <t>24 Sep 2026</t>
  </si>
  <si>
    <t>[Core] RxJS – takeUntilDestroyed, marble testing, custom operators  |  [Layer3] AI: MCP – Model Context Protocol deep dive</t>
  </si>
  <si>
    <t>25 Sep 2026</t>
  </si>
  <si>
    <t>[Core] Coding: build a type-ahead search with RxJS operators  |  [LC] Timed mock – 3 problems in 60 min  |  [Behavioral] STAR: Technical decision you influenced</t>
  </si>
  <si>
    <t>26 Sep 2026</t>
  </si>
  <si>
    <t>[Mock] Mock: Full loop – Frontend technical round  |  Revise weak areas from this week</t>
  </si>
  <si>
    <t>27 Sep 2026</t>
  </si>
  <si>
    <t>Read: Frontend performance case studies</t>
  </si>
  <si>
    <t>28 Sep 2026</t>
  </si>
  <si>
    <t>[Core] RxJS – Observable creation, cold vs hot, Subject types</t>
  </si>
  <si>
    <t>29 Sep 2026</t>
  </si>
  <si>
    <t>[Core] NgRx – Effects, createEffect, ofType, error handling</t>
  </si>
  <si>
    <t>30 Sep 2026</t>
  </si>
  <si>
    <t>[Core] NgRx – Selectors, createSelector, memoization  |  [DSA] Trees – Inorder, preorder, postorder (implement)</t>
  </si>
  <si>
    <t>01 Oct 2026</t>
  </si>
  <si>
    <t>[Core] Routing – Guards (CanActivate, CanDeactivate), Interceptors, Lazy Loading  |  [Layer3] System Design: Design Google Docs (collaborative)</t>
  </si>
  <si>
    <t>02 Oct 2026</t>
  </si>
  <si>
    <t>[Core] Coding: implement a full NgRx feature slice with effects  |  [LC] Timed mock – 3 problems in 60 min  |  [Behavioral] Practice: Why are you leaving Boeing?</t>
  </si>
  <si>
    <t>03 Oct 2026</t>
  </si>
  <si>
    <t>[Mock] Mock: Full loop – System Design round  |  Revise weak areas from this week</t>
  </si>
  <si>
    <t>04 Oct 2026</t>
  </si>
  <si>
    <t>Project: Write LinkedIn post about AI project</t>
  </si>
  <si>
    <t>05 Oct 2026</t>
  </si>
  <si>
    <t>[Core] NgRx – Store, Actions, Reducers, createFeature</t>
  </si>
  <si>
    <t>06 Oct 2026</t>
  </si>
  <si>
    <t>[Core] Hydration – full &amp; partial hydration</t>
  </si>
  <si>
    <t>07 Oct 2026</t>
  </si>
  <si>
    <t>[Core] Angular Testing – unit tests (Jasmine/Karma), TestBed, async  |  [DSA] Trees – Level order BFS (implement)</t>
  </si>
  <si>
    <t>08 Oct 2026</t>
  </si>
  <si>
    <t>[Core] Angular Testing Library, E2E basics (Playwright)  |  [Layer3] AI: LangGraph – stateful agentic workflows</t>
  </si>
  <si>
    <t>09 Oct 2026</t>
  </si>
  <si>
    <t>[Core] Micro Frontends – Module Federation with Angular  |  [LC] Timed mock – 3 problems in 60 min  |  [Behavioral] Practice: 60-second personal pitch</t>
  </si>
  <si>
    <t>10 Oct 2026</t>
  </si>
  <si>
    <t>[Mock] Mock: Full loop – Behavioral round  |  Revise weak areas from this week</t>
  </si>
  <si>
    <t>11 Oct 2026</t>
  </si>
  <si>
    <t>Read: Staff Engineer book / blog chapter</t>
  </si>
  <si>
    <t>12 Oct 2026</t>
  </si>
  <si>
    <t>[Core] SSR with Angular Universal – setup, TransferState</t>
  </si>
  <si>
    <t>━━━  SYSTEM DESIGN  ━━━</t>
  </si>
  <si>
    <t>Month 4</t>
  </si>
  <si>
    <t>13 Oct 2026</t>
  </si>
  <si>
    <t>[Core] Frontend performance – Core Web Vitals, lazy loading, code splitting</t>
  </si>
  <si>
    <t>14 Oct 2026</t>
  </si>
  <si>
    <t>System Design + DSA</t>
  </si>
  <si>
    <t>[Core] Design Systems &amp; Component Libraries – tokens, variants, theming  |  [DSA] Trees – Height, diameter, LCA</t>
  </si>
  <si>
    <t>15 Oct 2026</t>
  </si>
  <si>
    <t>System Design + Long-term</t>
  </si>
  <si>
    <t>[Core] Component API design – props, events, slots, composition patterns  |  [Layer3] System Design: Micro Frontends architecture</t>
  </si>
  <si>
    <t>16 Oct 2026</t>
  </si>
  <si>
    <t>System Design + LeetCode + Behavioral</t>
  </si>
  <si>
    <t>[Core] Coding: design a themeable Button component system  |  [LC] Timed mock – 3 problems in 60 min  |  [Behavioral] Practice: Salary negotiation talking points</t>
  </si>
  <si>
    <t>17 Oct 2026</t>
  </si>
  <si>
    <t>[Mock] Mock: Backend Node.js + REST Q&amp;A  |  Revise weak areas from this week</t>
  </si>
  <si>
    <t>18 Oct 2026</t>
  </si>
  <si>
    <t>Project: Polish GitHub README for portfolio</t>
  </si>
  <si>
    <t>19 Oct 2026</t>
  </si>
  <si>
    <t>[Core] Browser rendering pipeline, Critical Rendering Path, Reflow/Repaint</t>
  </si>
  <si>
    <t>20 Oct 2026</t>
  </si>
  <si>
    <t>[Core] Design a Chat Application – WebSockets, presence, message sync</t>
  </si>
  <si>
    <t>21 Oct 2026</t>
  </si>
  <si>
    <t>[Core] Design YouTube Frontend – video player, recommendations, feeds  |  [DSA] Graphs – BFS &amp; DFS (implement)</t>
  </si>
  <si>
    <t>22 Oct 2026</t>
  </si>
  <si>
    <t>[Core] Design Google Docs – collaborative editing, OT/CRDT basics  |  [Layer3] AI: Vector Databases &amp; Embeddings</t>
  </si>
  <si>
    <t>23 Oct 2026</t>
  </si>
  <si>
    <t>[Core] Practice: 45-min whiteboard for any of the above  |  [LC] Timed mock – 3 problems in 60 min  |  [Behavioral] Practice: Questions to ask the interviewer</t>
  </si>
  <si>
    <t>24 Oct 2026</t>
  </si>
  <si>
    <t>[Mock] Mock: Security &amp; HTTP Q&amp;A  |  Revise weak areas from this week</t>
  </si>
  <si>
    <t>25 Oct 2026</t>
  </si>
  <si>
    <t>Read: Watch AngularConnect / JSConf talk</t>
  </si>
  <si>
    <t>26 Oct 2026</t>
  </si>
  <si>
    <t>[Core] Design an E-commerce Frontend – product listing, cart, checkout</t>
  </si>
  <si>
    <t>27 Oct 2026</t>
  </si>
  <si>
    <t>[Core] Dashboard design – real-time data, polling vs WebSockets vs SSE</t>
  </si>
  <si>
    <t>28 Oct 2026</t>
  </si>
  <si>
    <t>[Core] File Upload system – chunked upload, progress, retry  |  [DSA] Graphs – Cycle detection</t>
  </si>
  <si>
    <t>29 Oct 2026</t>
  </si>
  <si>
    <t>[Core] Notification system – push, in-app, email coordination  |  [Layer3] System Design: Design a Notification System</t>
  </si>
  <si>
    <t>30 Oct 2026</t>
  </si>
  <si>
    <t>[Core] Practice: 45-min design for File Upload or Notification system  |  [LC] Timed mock – 3 problems in 60 min  |  [Behavioral] Full behavioral mock round (record yourself)</t>
  </si>
  <si>
    <t>31 Oct 2026</t>
  </si>
  <si>
    <t>[Mock] Mock: AI Engineering Q&amp;A (45 min)  |  Revise weak areas from this week</t>
  </si>
  <si>
    <t>01 Nov 2026</t>
  </si>
  <si>
    <t>Project: Build Design Token demo in Angular</t>
  </si>
  <si>
    <t>02 Nov 2026</t>
  </si>
  <si>
    <t>[Core] Authentication design – OAuth 2.0, JWT flow, refresh tokens</t>
  </si>
  <si>
    <t>03 Nov 2026</t>
  </si>
  <si>
    <t>[Core] Autocomplete / Typeahead – debounce, caching, accessibility</t>
  </si>
  <si>
    <t>04 Nov 2026</t>
  </si>
  <si>
    <t>[Core] Rate Limiter (frontend) – token bucket, UX patterns  |  [DSA] Sliding Window – Max sum subarray</t>
  </si>
  <si>
    <t>05 Nov 2026</t>
  </si>
  <si>
    <t>[Core] Design Token System – multi-brand theming at scale  |  [Layer3] AI: AI Agents – ReAct pattern</t>
  </si>
  <si>
    <t>06 Nov 2026</t>
  </si>
  <si>
    <t>[Core] Practice: 45-min design for Micro Frontends or Autocomplete  |  [LC] Timed mock – 3 problems in 60 min  |  [Behavioral] Full behavioral mock round (record yourself)</t>
  </si>
  <si>
    <t>07 Nov 2026</t>
  </si>
  <si>
    <t>[Mock] Mock: Mixed technical round (60 min)  |  Revise weak areas from this week</t>
  </si>
  <si>
    <t>08 Nov 2026</t>
  </si>
  <si>
    <t>Read: Micro Frontends case study</t>
  </si>
  <si>
    <t>09 Nov 2026</t>
  </si>
  <si>
    <t>[Core] Micro Frontends – Module Federation, routing, shared state</t>
  </si>
  <si>
    <t>━━━  BACKEND  ━━━</t>
  </si>
  <si>
    <t>Month 5</t>
  </si>
  <si>
    <t>10 Nov 2026</t>
  </si>
  <si>
    <t>[Core] ExpressJS – middleware chain, routing, error handling patterns</t>
  </si>
  <si>
    <t>11 Nov 2026</t>
  </si>
  <si>
    <t>Backend + DSA</t>
  </si>
  <si>
    <t>[Core] REST API design – versioning, HATEOAS, status codes, pagination  |  [DSA] Two Pointer – Sorted arrays</t>
  </si>
  <si>
    <t>12 Nov 2026</t>
  </si>
  <si>
    <t>Backend + Long-term</t>
  </si>
  <si>
    <t>[Core] Middleware patterns – logging, rate limiting, validation  |  [Layer3] System Design: Rate Limiter &amp; Design Token System</t>
  </si>
  <si>
    <t>13 Nov 2026</t>
  </si>
  <si>
    <t>Backend + LeetCode + Behavioral</t>
  </si>
  <si>
    <t>[Core] Coding: build a REST API with Express + error middleware  |  [LC] Timed mock – 3 problems in 60 min  |  [Behavioral] Full behavioral mock round (record yourself)</t>
  </si>
  <si>
    <t>14 Nov 2026</t>
  </si>
  <si>
    <t>[Mock] Mock: Full loop simulation – Day 1  |  Revise weak areas from this week</t>
  </si>
  <si>
    <t>15 Nov 2026</t>
  </si>
  <si>
    <t>Project: Explore LangGraph – build a flow</t>
  </si>
  <si>
    <t>16 Nov 2026</t>
  </si>
  <si>
    <t>[Core] Node.js – event loop, streams, clustering, worker threads</t>
  </si>
  <si>
    <t>17 Nov 2026</t>
  </si>
  <si>
    <t>[Core] HTTPS – TLS handshake, certificates, mixed content</t>
  </si>
  <si>
    <t>18 Nov 2026</t>
  </si>
  <si>
    <t>[Core] HTTP/2 – multiplexing, header compression, server push  |  [DSA] Heap – Top K elements</t>
  </si>
  <si>
    <t>19 Nov 2026</t>
  </si>
  <si>
    <t>[Core] HTTP/3 – QUIC protocol, 0-RTT, why it matters  |  [Layer3] AI: AI evaluation &amp; hallucination mitigation</t>
  </si>
  <si>
    <t>20 Nov 2026</t>
  </si>
  <si>
    <t>[Core] Caching – Cache-Control, ETag, Last-Modified, CDN caching layers  |  [LC] Timed mock – 3 problems in 60 min  |  [Behavioral] Full behavioral mock round (record yourself)</t>
  </si>
  <si>
    <t>21 Nov 2026</t>
  </si>
  <si>
    <t>[Mock] Mock: Full loop simulation – Day 2  |  Revise weak areas from this week</t>
  </si>
  <si>
    <t>22 Nov 2026</t>
  </si>
  <si>
    <t>Read: AI evaluation frameworks</t>
  </si>
  <si>
    <t>23 Nov 2026</t>
  </si>
  <si>
    <t>[Core] HTTP/1.1 – request/response cycle, headers, methods, status codes</t>
  </si>
  <si>
    <t>24 Nov 2026</t>
  </si>
  <si>
    <t>[Core] CSP (Content Security Policy) – directives, nonce, strict-dynamic</t>
  </si>
  <si>
    <t>25 Nov 2026</t>
  </si>
  <si>
    <t>[Core] XSS – reflected, stored, DOM-based – prevention &amp; sanitization  |  [DSA] DP – Fibonacci, coin change</t>
  </si>
  <si>
    <t>26 Nov 2026</t>
  </si>
  <si>
    <t>[Core] CSRF – SameSite cookies, CSRF tokens, double-submit pattern  |  [Layer3] System Design: File Upload &amp; Design System</t>
  </si>
  <si>
    <t>27 Nov 2026</t>
  </si>
  <si>
    <t>[Core] JWT attacks – alg:none, weak secrets, expiry bypass | OAuth attacks – redirect_uri, PKCE  |  [LC] Timed mock – 3 problems in 60 min  |  [Behavioral] Full behavioral mock round (record yourself)</t>
  </si>
  <si>
    <t>28 Nov 2026</t>
  </si>
  <si>
    <t>[Mock] Mock: Final weak-area targeted round  |  Revise weak areas from this week</t>
  </si>
  <si>
    <t>29 Nov 2026</t>
  </si>
  <si>
    <t>Project: AI Agent with tool calling (mini project)</t>
  </si>
  <si>
    <t>30 Nov 2026</t>
  </si>
  <si>
    <t>[Core] CORS – preflight, allowed origins, credentials – implement properly</t>
  </si>
  <si>
    <t>01 Dec 2026</t>
  </si>
  <si>
    <t>[Core] OAuth 2.0 – authorization code + PKCE flow end-to-end</t>
  </si>
  <si>
    <t>02 Dec 2026</t>
  </si>
  <si>
    <t>[Core] SQL – joins, indexes, query optimization, EXPLAIN  |  [DSA] DP – Knapsack basics</t>
  </si>
  <si>
    <t>03 Dec 2026</t>
  </si>
  <si>
    <t>[Core] MongoDB – aggregation pipeline, indexes, atlas search  |  [Layer3] AI: Streaming (SSE), Ollama, local models</t>
  </si>
  <si>
    <t>04 Dec 2026</t>
  </si>
  <si>
    <t>[Core] Redis – caching patterns, pub/sub, session storage  |  [LC] Timed mock – 3 problems in 60 min  |  [Behavioral] Full behavioral mock round (record yourself)</t>
  </si>
  <si>
    <t>05 Dec 2026</t>
  </si>
  <si>
    <t>[Mock] Mock: Final full loop simulation  |  Revise weak areas from this week</t>
  </si>
  <si>
    <t>06 Dec 2026</t>
  </si>
  <si>
    <t>Read: Engineering culture blogs (Netflix, Uber)</t>
  </si>
  <si>
    <t>07 Dec 2026</t>
  </si>
  <si>
    <t>[Core] JWT – structure (header.payload.sig), signing, refresh token rotation</t>
  </si>
  <si>
    <t>Month 6</t>
  </si>
  <si>
    <t>08 Dec 2026</t>
  </si>
  <si>
    <t>[Core] Spring Boot basics – controllers, services, JPA, REST</t>
  </si>
  <si>
    <t>09 Dec 2026</t>
  </si>
  <si>
    <t>[Core] WebSockets – ws protocol, rooms, scaling with Redis adapter  |  [DSA] Timed Practice – 2 mediums in 45 min</t>
  </si>
  <si>
    <t>10 Dec 2026</t>
  </si>
  <si>
    <t>[Core] GraphQL basics – schema, resolvers, N+1 problem  |  [Layer3] System Design: Browser Rendering &amp; Critical Path</t>
  </si>
  <si>
    <t>11 Dec 2026</t>
  </si>
  <si>
    <t>[Core] CDN &amp; Compression – Brotli/Gzip, CDN edge caching, cache invalidation  |  [LC] Timed mock – 3 problems in 60 min  |  [Behavioral] Full behavioral mock round (record yourself)</t>
  </si>
  <si>
    <t>12 Dec 2026</t>
  </si>
  <si>
    <t>[Mock] Mock: Company-specific prep (Atlassian/Adobe)  |  Revise weak areas from this week</t>
  </si>
  <si>
    <t>13 Dec 2026</t>
  </si>
  <si>
    <t>Project: Free build / explore new tool</t>
  </si>
  <si>
    <t>14 Dec 2026</t>
  </si>
  <si>
    <t>[Core] Docker – Dockerfile, multi-stage builds, docker-compose</t>
  </si>
  <si>
    <t>━━━  AI ENGINEERING  ━━━</t>
  </si>
  <si>
    <t>15 Dec 2026</t>
  </si>
  <si>
    <t>[Core] Prompt Engineering – zero-shot, few-shot, CoT, ReAct prompting</t>
  </si>
  <si>
    <t>16 Dec 2026</t>
  </si>
  <si>
    <t>AI Engineering + DSA</t>
  </si>
  <si>
    <t>[Core] OpenAI API – chat completions, streaming, function calling  |  [DSA] Timed Practice – 2 mediums in 45 min</t>
  </si>
  <si>
    <t>17 Dec 2026</t>
  </si>
  <si>
    <t>AI Engineering + Long-term</t>
  </si>
  <si>
    <t>[Core] Claude API – tool use, system prompts, caching  |  [Layer3] AI: LLM Fundamentals &amp; Prompt Engineering</t>
  </si>
  <si>
    <t>18 Dec 2026</t>
  </si>
  <si>
    <t>AI Engineering + LeetCode + Behavioral</t>
  </si>
  <si>
    <t>[Core] Coding: build a multi-turn chat with function calling  |  [LC] Hard: 1 problem in 45 min  |  [Behavioral] Full behavioral mock round (record yourself)</t>
  </si>
  <si>
    <t>19 Dec 2026</t>
  </si>
  <si>
    <t>[Mock] Mock: Company-specific prep (Flipkart/Razorpay)  |  Revise weak areas from this week</t>
  </si>
  <si>
    <t>20 Dec 2026</t>
  </si>
  <si>
    <t>Read: Review all notes from the past months</t>
  </si>
  <si>
    <t>21 Dec 2026</t>
  </si>
  <si>
    <t>[Core] LLM fundamentals – tokens, temperature, top-p, context window</t>
  </si>
  <si>
    <t>22 Dec 2026</t>
  </si>
  <si>
    <t>[Core] Vector Databases – Chroma, Pinecone, pgvector – setup &amp; query</t>
  </si>
  <si>
    <t>23 Dec 2026</t>
  </si>
  <si>
    <t>[Core] RAG – chunking strategies, retrieval, re-ranking  |  [DSA] Timed Practice – 2 mediums in 45 min</t>
  </si>
  <si>
    <t>24 Dec 2026</t>
  </si>
  <si>
    <t>[Core] RAG – evaluation (context recall, answer relevance)  |  [Layer3] System Design: Design an E-commerce Frontend</t>
  </si>
  <si>
    <t>25 Dec 2026</t>
  </si>
  <si>
    <t>[Core] Coding: build a RAG pipeline over a PDF document  |  [LC] Hard: 1 problem in 45 min  |  [Behavioral] Full behavioral mock round (record yourself)</t>
  </si>
  <si>
    <t>26 Dec 2026</t>
  </si>
  <si>
    <t>[Mock] Mock: Company-specific prep (Salesforce/ServiceNow)  |  Revise weak areas from this week</t>
  </si>
  <si>
    <t>27 Dec 2026</t>
  </si>
  <si>
    <t>Project: Final portfolio cleanup &amp; README polish</t>
  </si>
  <si>
    <t>28 Dec 2026</t>
  </si>
  <si>
    <t>[Core] Embeddings – what they are, cosine similarity, use cases</t>
  </si>
  <si>
    <t>29 Dec 2026</t>
  </si>
  <si>
    <t>[Core] LangChain – chains, agents, memory, LCEL</t>
  </si>
  <si>
    <t>30 Dec 2026</t>
  </si>
  <si>
    <t>[Core] LangGraph – stateful agentic workflows, human-in-the-loop  |  [DSA] Timed Practice – 2 mediums in 45 min</t>
  </si>
  <si>
    <t>31 Dec 2026</t>
  </si>
  <si>
    <t>[Core] MCP (Model Context Protocol) – architecture, tools, resources  |  [Layer3] AI: OpenAI API &amp; Function Calling</t>
  </si>
  <si>
    <t>01 Jan 2027</t>
  </si>
  <si>
    <t>[Core] Coding: build a multi-tool agent (web search + code executor)  |  [LC] Hard: 1 problem in 45 min  |  [Behavioral] Full behavioral mock round (record yourself)</t>
  </si>
  <si>
    <t>02 Jan 2027</t>
  </si>
  <si>
    <t>[Mock] Mock: Final confidence round  |  Revise weak areas from this week</t>
  </si>
  <si>
    <t>03 Jan 2027</t>
  </si>
  <si>
    <t>Read: Watch a mock interview on YouTube</t>
  </si>
  <si>
    <t>04 Jan 2027</t>
  </si>
  <si>
    <t>[Core] AI Agents – ReAct pattern, tool calling, planning loops</t>
  </si>
  <si>
    <t>Month 7</t>
  </si>
  <si>
    <t>05 Jan 2027</t>
  </si>
  <si>
    <t>[Core] Ollama – local model serving, API, model management</t>
  </si>
  <si>
    <t>06 Jan 2027</t>
  </si>
  <si>
    <t>[Core] Amazon Q / Bedrock – integration patterns, enterprise use  |  [DSA] Timed Practice – 2 mediums in 45 min</t>
  </si>
  <si>
    <t>07 Jan 2027</t>
  </si>
  <si>
    <t>[Core] AI safety – guardrails, content filtering, hallucination mitigation  |  [Layer3] System Design: Design a Chat Application</t>
  </si>
  <si>
    <t>08 Jan 2027</t>
  </si>
  <si>
    <t>[Core] Coding: add streaming to convopro_chatgpt app  |  [LC] Hard: 1 problem in 45 min  |  [Behavioral] Full behavioral mock round (record yourself)</t>
  </si>
  <si>
    <t>09 Jan 2027</t>
  </si>
  <si>
    <t>[Mock] Mock: Revision – all weak areas  |  Revise weak areas from this week</t>
  </si>
  <si>
    <t>10 Jan 2027</t>
  </si>
  <si>
    <t>Project: Write LinkedIn post – career journey</t>
  </si>
  <si>
    <t>11 Jan 2027</t>
  </si>
  <si>
    <t>[Core] Streaming responses – SSE, chunked transfer, frontend handling</t>
  </si>
  <si>
    <t>12 Jan 2027</t>
  </si>
  <si>
    <t>[Core] LlamaIndex – document loading, indexing, query engines</t>
  </si>
  <si>
    <t>13 Jan 2027</t>
  </si>
  <si>
    <t>[Core] AI system design – latency, cost, caching, fallbacks  |  [DSA] Timed Practice – 2 mediums in 45 min</t>
  </si>
  <si>
    <t>14 Jan 2027</t>
  </si>
  <si>
    <t>[Core] Review all AI topics + prepare Boeing AI story for interviews  |  [Layer3] AI: RAG Architecture &amp; Chunking</t>
  </si>
  <si>
    <t>15 Jan 2027</t>
  </si>
  <si>
    <t>[Core] Coding: polish convopro_chatgpt – final features + deploy  |  [LC] Hard: 1 problem in 45 min  |  [Behavioral] Full behavioral mock round (record yourself)</t>
  </si>
  <si>
    <t>16 Jan 2027</t>
  </si>
  <si>
    <t>17 Jan 2027</t>
  </si>
  <si>
    <t>Free: Rest day – light reading only</t>
  </si>
  <si>
    <t>18 Jan 2027</t>
  </si>
  <si>
    <t>[Core] AI evaluation frameworks – evals, benchmarks, automated testing</t>
  </si>
  <si>
    <t>━━━  REVISION &amp; APPLY  ━━━</t>
  </si>
  <si>
    <t>19 Jan 2027</t>
  </si>
  <si>
    <t>[Core] Revise: Angular top 20 interview questions (write answers)</t>
  </si>
  <si>
    <t>20 Jan 2027</t>
  </si>
  <si>
    <t>Revision &amp; Apply + DSA</t>
  </si>
  <si>
    <t>[Core] Revise: TypeScript advanced patterns  |  [DSA] Timed Practice – 2 mediums in 45 min</t>
  </si>
  <si>
    <t>21 Jan 2027</t>
  </si>
  <si>
    <t>Revision &amp; Apply + Long-term</t>
  </si>
  <si>
    <t>[Core] Revise: RxJS operators – code each from memory  |  [Layer3] System Design: Design YouTube Frontend</t>
  </si>
  <si>
    <t>22 Jan 2027</t>
  </si>
  <si>
    <t>Revision &amp; Apply + LeetCode + Behavioral</t>
  </si>
  <si>
    <t>[Core] Mock coding round: 2 medium problems timed  |  [LC] Hard: 1 problem in 45 min  |  [Behavioral] Full behavioral mock round (record yourself)</t>
  </si>
  <si>
    <t>23 Jan 2027</t>
  </si>
  <si>
    <t>24 Jan 2027</t>
  </si>
  <si>
    <t>25 Jan 2027</t>
  </si>
  <si>
    <t>[Core] Revise: JavaScript top 20 interview questions (write answers)</t>
  </si>
  <si>
    <t>26 Jan 2027</t>
  </si>
  <si>
    <t>[Core] Revise: Backend – HTTP, Security, REST</t>
  </si>
  <si>
    <t>27 Jan 2027</t>
  </si>
  <si>
    <t>[Core] Revise: all DSA patterns – write cheatsheet  |  [DSA] Timed Practice – 2 mediums in 45 min</t>
  </si>
  <si>
    <t>28 Jan 2027</t>
  </si>
  <si>
    <t>[Core] Revise: AI Engineering talking points for interviews  |  [Layer3] AI: LangChain – chains, agents, memory</t>
  </si>
  <si>
    <t>29 Jan 2027</t>
  </si>
  <si>
    <t>[Core] Mock: Full system design round (60 min)  |  [LC] Hard: 1 problem in 45 min  |  [Behavioral] Full behavioral mock round (record yourself)</t>
  </si>
  <si>
    <t>30 Jan 2027</t>
  </si>
  <si>
    <t>31 Jan 2027</t>
  </si>
  <si>
    <t>01 Feb 2027</t>
  </si>
  <si>
    <t>[Core] Revise: all System Design patterns + draw diagrams</t>
  </si>
  <si>
    <t>02 Feb 2027</t>
  </si>
  <si>
    <t>[Core] Full mock: Angular + TypeScript Q&amp;A (45 min)</t>
  </si>
  <si>
    <t>03 Feb 2027</t>
  </si>
  <si>
    <t>[Core] Full mock: System Design round (60 min)  |  [DSA] Timed Practice – 2 mediums in 45 min</t>
  </si>
  <si>
    <t>04 Feb 2027</t>
  </si>
  <si>
    <t>[Core] Full mock: Behavioral round (45 min)  |  [Layer3] System Design: Authentication (OAuth, JWT)</t>
  </si>
  <si>
    <t>05 Feb 2027</t>
  </si>
  <si>
    <t>[Core] Debrief: identify weak areas, update revision plan  |  [LC] Hard: 1 problem in 45 min  |  [Behavioral] Full behavioral mock round (record yourself)</t>
  </si>
  <si>
    <t>06 Feb 2027</t>
  </si>
  <si>
    <t>07 Feb 2027</t>
  </si>
  <si>
    <t>08 Feb 2027</t>
  </si>
  <si>
    <t>[Core] Full mock: JavaScript advanced coding (45 min)</t>
  </si>
  <si>
    <t>09 Feb 2027</t>
  </si>
  <si>
    <t>[Core] Company-specific prep: Atlassian / Adobe / Flipkart</t>
  </si>
  <si>
    <t>10 Feb 2027</t>
  </si>
  <si>
    <t>[Core] Company-specific prep: Razorpay / Salesforce / LinkedIn  |  [DSA] Timed Practice – 2 mediums in 45 min</t>
  </si>
  <si>
    <t>11 Feb 2027</t>
  </si>
  <si>
    <t>[Core] Full mock loop simulation (full day)  |  [Layer3] AI: MCP – Model Context Protocol deep dive</t>
  </si>
  <si>
    <t>12 Feb 2027</t>
  </si>
  <si>
    <t>[Core] Final review: personal pitch, salary negotiation, questions to ask  |  [LC] Hard: 1 problem in 45 min  |  [Behavioral] Full behavioral mock round (record yourself)</t>
  </si>
  <si>
    <t>13 Feb 2027</t>
  </si>
  <si>
    <t>14 Feb 2027</t>
  </si>
  <si>
    <t>15 Feb 2027</t>
  </si>
  <si>
    <t>[Core] Weak area revision – targeted 3-hour session</t>
  </si>
  <si>
    <t>🔁 Spaced Repetition Tracker — Review each topic at 1 day, 7 days, 30 days, then mark Mastered</t>
  </si>
  <si>
    <t>Topic</t>
  </si>
  <si>
    <t>Category</t>
  </si>
  <si>
    <t>1 Day ✓</t>
  </si>
  <si>
    <t>7 Days ✓</t>
  </si>
  <si>
    <t>30 Days ✓</t>
  </si>
  <si>
    <t>Mastered ✓</t>
  </si>
  <si>
    <t>Execution Context &amp; Call Stack</t>
  </si>
  <si>
    <t>⬜</t>
  </si>
  <si>
    <t>Scope Chain &amp; Closures</t>
  </si>
  <si>
    <t>this – 4 binding rules</t>
  </si>
  <si>
    <t>Prototype Chain</t>
  </si>
  <si>
    <t>Event Loop (draw it)</t>
  </si>
  <si>
    <t>Promises &amp; async/await</t>
  </si>
  <si>
    <t>Debounce &amp; Throttle (implement)</t>
  </si>
  <si>
    <t>Web Workers – postMessage, Transferable, SharedArrayBuffer</t>
  </si>
  <si>
    <t>Polyfills (implement)</t>
  </si>
  <si>
    <t>Generics &amp; Utility Types</t>
  </si>
  <si>
    <t>Mapped &amp; Conditional Types</t>
  </si>
  <si>
    <t>Type Narrowing &amp; Discriminated Unions</t>
  </si>
  <si>
    <t>Lifecycle Hooks</t>
  </si>
  <si>
    <t>Change Detection (OnPush)</t>
  </si>
  <si>
    <t>Signals (computed, effect, toSignal)</t>
  </si>
  <si>
    <t>Standalone Components</t>
  </si>
  <si>
    <t>RxJS operators (switchMap/mergeMap/concatMap)</t>
  </si>
  <si>
    <t>NgRx (Store/Actions/Reducers/Effects)</t>
  </si>
  <si>
    <t>Guards &amp; Interceptors</t>
  </si>
  <si>
    <t>Browser Rendering Pipeline</t>
  </si>
  <si>
    <t>Design: E-commerce Frontend</t>
  </si>
  <si>
    <t>Design: Chat Application</t>
  </si>
  <si>
    <t>Design: Authentication (OAuth/JWT)</t>
  </si>
  <si>
    <t>Design: Micro Frontends</t>
  </si>
  <si>
    <t>HTTP/1.1 vs HTTP/2 vs HTTP/3</t>
  </si>
  <si>
    <t>HTTPS &amp; TLS Handshake</t>
  </si>
  <si>
    <t>CDN &amp; Caching strategies</t>
  </si>
  <si>
    <t>CORS (implement correctly)</t>
  </si>
  <si>
    <t>Security</t>
  </si>
  <si>
    <t>CSP directives</t>
  </si>
  <si>
    <t>XSS prevention</t>
  </si>
  <si>
    <t>CSRF protection</t>
  </si>
  <si>
    <t>JWT attacks &amp; mitigations</t>
  </si>
  <si>
    <t>OAuth attacks &amp; PKCE</t>
  </si>
  <si>
    <t>REST API design</t>
  </si>
  <si>
    <t>Docker (build &amp; run)</t>
  </si>
  <si>
    <t>RAG pipeline</t>
  </si>
  <si>
    <t>Embeddings &amp; Vector DB</t>
  </si>
  <si>
    <t>AI Agents (ReAct)</t>
  </si>
  <si>
    <t>MCP protocol</t>
  </si>
  <si>
    <t>LangGraph stateful workflow</t>
  </si>
  <si>
    <t>Sliding Window pattern</t>
  </si>
  <si>
    <t>DSA</t>
  </si>
  <si>
    <t>Two Pointer pattern</t>
  </si>
  <si>
    <t>BFS/DFS (implement)</t>
  </si>
  <si>
    <t>Binary Search (implement)</t>
  </si>
  <si>
    <t>DP (coin change, knapsack)</t>
  </si>
  <si>
    <t>🎤 Mock Interview Log — Track every mock, score it, note weaknesses</t>
  </si>
  <si>
    <t>Company / Interviewer</t>
  </si>
  <si>
    <t>Topic / Round</t>
  </si>
  <si>
    <t>Score (1–10)</t>
  </si>
  <si>
    <t>Weakness Identified</t>
  </si>
  <si>
    <t>Action Item</t>
  </si>
  <si>
    <t>Self / Peer</t>
  </si>
  <si>
    <t>JS – Closures &amp; Event Loop</t>
  </si>
  <si>
    <t>7/10</t>
  </si>
  <si>
    <t>Microtask queue ordering</t>
  </si>
  <si>
    <t>Re-read &amp; draw the event loop 3 times</t>
  </si>
  <si>
    <t>Angular – Change Detection</t>
  </si>
  <si>
    <t>System Design – Chat App</t>
  </si>
  <si>
    <t>💬 STAR Story Tracker — Prepare, practice, and track each behavioral story</t>
  </si>
  <si>
    <t>STAR Story</t>
  </si>
  <si>
    <t>Ready?</t>
  </si>
  <si>
    <t>Times Practiced</t>
  </si>
  <si>
    <t>Last Practiced</t>
  </si>
  <si>
    <t>Notes / Improvements</t>
  </si>
  <si>
    <t>AngularJS → Angular 12 migration (25 engineers)</t>
  </si>
  <si>
    <t>✅ Ready</t>
  </si>
  <si>
    <t>Leading a team of 25 engineers</t>
  </si>
  <si>
    <t>TypeScript standards adoption across teams</t>
  </si>
  <si>
    <t>AI workflow automation at Boeing (MCP + Claude)</t>
  </si>
  <si>
    <t>Mentoring junior engineers</t>
  </si>
  <si>
    <t>Handling a major technical disagreement</t>
  </si>
  <si>
    <t>Production incident / outage</t>
  </si>
  <si>
    <t>Code review process &amp; culture building</t>
  </si>
  <si>
    <t>Work estimation &amp; planning accuracy</t>
  </si>
  <si>
    <t>Technical decision you influenced significantly</t>
  </si>
  <si>
    <t>Why leaving Boeing? (rehearsed answer)</t>
  </si>
  <si>
    <t>60-second personal pitch</t>
  </si>
  <si>
    <t>Salary negotiation talking points</t>
  </si>
  <si>
    <t>💡 STAR FORMAT REMINDER</t>
  </si>
  <si>
    <t>S – Situation: Set the context (project, team size, timeline)</t>
  </si>
  <si>
    <t>T – Task: What was your specific responsibility?</t>
  </si>
  <si>
    <t>A – Action: Exactly what YOU did (use 'I', not 'we')</t>
  </si>
  <si>
    <t>R – Result: Measurable outcome (% improvement, engineers impacted, time saved)</t>
  </si>
  <si>
    <t>🔑 BOEING AI STORY: Lead every interview with this.</t>
  </si>
  <si>
    <t xml:space="preserve">   'I designed an automated defect workflow using Claude MCP + Word + Git → auto work items, auto fixes, auto PRs'</t>
  </si>
  <si>
    <t xml:space="preserve">   Quantify: 'Saved X hours/week', 'Reduced defect resolution time by Y%'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</si>
</sst>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9"/>
      <color rgb="FF595959"/>
      <name val="Calibri"/>
    </font>
    <font>
      <b/>
      <sz val="18"/>
      <color rgb="FF1F4E79"/>
      <name val="Calibri"/>
    </font>
    <font>
      <b/>
      <sz val="11"/>
      <color rgb="FFFFFFFF"/>
      <name val="Calibri"/>
    </font>
    <font>
      <b/>
      <sz val="9"/>
      <color rgb="FF1F4E79"/>
      <name val="Calibri"/>
    </font>
    <font>
      <sz val="9"/>
      <color rgb="FF000000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1F4E79"/>
      <name val="Calibri"/>
    </font>
    <font>
      <b/>
      <sz val="9"/>
      <color rgb="FF000000"/>
      <name val="Calibri"/>
    </font>
    <font>
      <b/>
      <sz val="9"/>
      <color rgb="FFFFFFFF"/>
      <name val="Calibri"/>
    </font>
    <font>
      <sz val="10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2E74B5"/>
        <bgColor rgb="FF2E74B5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AFAFA"/>
        <bgColor rgb="FFFAFAFA"/>
      </patternFill>
    </fill>
    <fill>
      <patternFill patternType="solid">
        <fgColor rgb="FFE8E8E8"/>
        <bgColor rgb="FFE8E8E8"/>
      </patternFill>
    </fill>
    <fill>
      <patternFill patternType="solid">
        <fgColor rgb="FFFFE0B2"/>
        <bgColor rgb="FFFFE0B2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12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/>
    </xf>
    <xf numFmtId="0" fontId="5" fillId="9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workbookViewId="0">
      <selection sqref="A1:D1"/>
    </sheetView>
  </sheetViews>
  <sheetFormatPr defaultRowHeight="14.4" x14ac:dyDescent="0.3"/>
  <cols>
    <col min="1" max="6" width="22" customWidth="1"/>
  </cols>
  <sheetData>
    <row r="1" spans="1:6" ht="36" customHeight="1" x14ac:dyDescent="0.3">
      <c r="A1" s="58" t="s">
        <v>0</v>
      </c>
      <c r="B1" s="59"/>
      <c r="C1" s="59"/>
      <c r="D1" s="59"/>
    </row>
    <row r="2" spans="1:6" ht="19.95" customHeight="1" x14ac:dyDescent="0.3">
      <c r="A2" s="63" t="s">
        <v>1</v>
      </c>
      <c r="B2" s="59"/>
      <c r="C2" s="59"/>
      <c r="D2" s="59"/>
    </row>
    <row r="4" spans="1:6" ht="18" customHeight="1" x14ac:dyDescent="0.3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</row>
    <row r="5" spans="1:6" ht="40.049999999999997" customHeight="1" x14ac:dyDescent="0.3">
      <c r="A5" s="7">
        <f>MAX('📅 Daily Planner'!A:A)</f>
        <v>30</v>
      </c>
      <c r="B5" s="8">
        <f>COUNTIF('📅 Daily Planner'!K:K,"Completed")</f>
        <v>0</v>
      </c>
      <c r="C5" s="9">
        <v>210</v>
      </c>
      <c r="D5" s="10">
        <f>SUM('📅 Daily Planner'!I:I)</f>
        <v>660</v>
      </c>
      <c r="E5" s="11">
        <f>COUNTIF('📅 Daily Planner'!F:F,"Mock + Revision + Project")</f>
        <v>0</v>
      </c>
      <c r="F5" s="12" t="str">
        <f>IFERROR(INDEX('📅 Daily Planner'!C:C,MATCH(MAX('📅 Daily Planner'!A:A),'📅 Daily Planner'!A:A,0)),"–")</f>
        <v>Revision &amp; Apply</v>
      </c>
    </row>
    <row r="7" spans="1:6" ht="22.05" customHeight="1" x14ac:dyDescent="0.3">
      <c r="A7" s="62" t="s">
        <v>8</v>
      </c>
      <c r="B7" s="59"/>
      <c r="C7" s="59"/>
      <c r="D7" s="59"/>
    </row>
    <row r="8" spans="1:6" ht="18" customHeight="1" x14ac:dyDescent="0.3">
      <c r="A8" s="13" t="s">
        <v>7</v>
      </c>
      <c r="B8" s="13" t="s">
        <v>9</v>
      </c>
      <c r="C8" s="13" t="s">
        <v>10</v>
      </c>
      <c r="D8" s="13" t="s">
        <v>11</v>
      </c>
    </row>
    <row r="9" spans="1:6" ht="18" customHeight="1" x14ac:dyDescent="0.3">
      <c r="A9" s="14" t="s">
        <v>12</v>
      </c>
      <c r="B9" s="14" t="s">
        <v>13</v>
      </c>
      <c r="C9" s="15" t="s">
        <v>14</v>
      </c>
      <c r="D9" s="15" t="s">
        <v>15</v>
      </c>
    </row>
    <row r="10" spans="1:6" ht="18" customHeight="1" x14ac:dyDescent="0.3">
      <c r="A10" s="16" t="s">
        <v>16</v>
      </c>
      <c r="B10" s="16" t="s">
        <v>17</v>
      </c>
      <c r="C10" s="17" t="s">
        <v>18</v>
      </c>
      <c r="D10" s="17" t="s">
        <v>19</v>
      </c>
    </row>
    <row r="11" spans="1:6" ht="18" customHeight="1" x14ac:dyDescent="0.3">
      <c r="A11" s="18" t="s">
        <v>20</v>
      </c>
      <c r="B11" s="18" t="s">
        <v>21</v>
      </c>
      <c r="C11" s="19" t="s">
        <v>22</v>
      </c>
      <c r="D11" s="19" t="s">
        <v>23</v>
      </c>
    </row>
    <row r="12" spans="1:6" ht="18" customHeight="1" x14ac:dyDescent="0.3">
      <c r="A12" s="20" t="s">
        <v>24</v>
      </c>
      <c r="B12" s="20" t="s">
        <v>25</v>
      </c>
      <c r="C12" s="21" t="s">
        <v>26</v>
      </c>
      <c r="D12" s="21" t="s">
        <v>27</v>
      </c>
    </row>
    <row r="13" spans="1:6" ht="18" customHeight="1" x14ac:dyDescent="0.3">
      <c r="A13" s="22" t="s">
        <v>28</v>
      </c>
      <c r="B13" s="22" t="s">
        <v>29</v>
      </c>
      <c r="C13" s="23" t="s">
        <v>30</v>
      </c>
      <c r="D13" s="23" t="s">
        <v>31</v>
      </c>
    </row>
    <row r="14" spans="1:6" ht="18" customHeight="1" x14ac:dyDescent="0.3">
      <c r="A14" s="24" t="s">
        <v>32</v>
      </c>
      <c r="B14" s="24" t="s">
        <v>33</v>
      </c>
      <c r="C14" s="25" t="s">
        <v>34</v>
      </c>
      <c r="D14" s="25" t="s">
        <v>35</v>
      </c>
    </row>
    <row r="15" spans="1:6" ht="18" customHeight="1" x14ac:dyDescent="0.3">
      <c r="A15" s="26" t="s">
        <v>36</v>
      </c>
      <c r="B15" s="26" t="s">
        <v>37</v>
      </c>
      <c r="C15" s="27" t="s">
        <v>38</v>
      </c>
      <c r="D15" s="27" t="s">
        <v>39</v>
      </c>
    </row>
    <row r="18" spans="1:4" x14ac:dyDescent="0.3">
      <c r="A18" s="61" t="s">
        <v>40</v>
      </c>
      <c r="B18" s="59"/>
      <c r="C18" s="59"/>
      <c r="D18" s="59"/>
    </row>
    <row r="19" spans="1:4" ht="16.05" customHeight="1" x14ac:dyDescent="0.3">
      <c r="A19" s="60" t="s">
        <v>41</v>
      </c>
      <c r="B19" s="59"/>
      <c r="C19" s="59"/>
      <c r="D19" s="59"/>
    </row>
    <row r="20" spans="1:4" ht="16.05" customHeight="1" x14ac:dyDescent="0.3">
      <c r="A20" s="60" t="s">
        <v>42</v>
      </c>
      <c r="B20" s="59"/>
      <c r="C20" s="59"/>
      <c r="D20" s="59"/>
    </row>
    <row r="21" spans="1:4" ht="16.05" customHeight="1" x14ac:dyDescent="0.3">
      <c r="A21" s="60" t="s">
        <v>43</v>
      </c>
      <c r="B21" s="59"/>
      <c r="C21" s="59"/>
      <c r="D21" s="59"/>
    </row>
    <row r="22" spans="1:4" ht="16.05" customHeight="1" x14ac:dyDescent="0.3">
      <c r="A22" s="60" t="s">
        <v>44</v>
      </c>
      <c r="B22" s="59"/>
      <c r="C22" s="59"/>
      <c r="D22" s="59"/>
    </row>
    <row r="23" spans="1:4" ht="16.05" customHeight="1" x14ac:dyDescent="0.3">
      <c r="A23" s="60" t="s">
        <v>45</v>
      </c>
      <c r="B23" s="59"/>
      <c r="C23" s="59"/>
      <c r="D23" s="59"/>
    </row>
    <row r="24" spans="1:4" ht="16.05" customHeight="1" x14ac:dyDescent="0.3">
      <c r="A24" s="60" t="s">
        <v>46</v>
      </c>
      <c r="B24" s="59"/>
      <c r="C24" s="59"/>
      <c r="D24" s="59"/>
    </row>
    <row r="25" spans="1:4" ht="16.05" customHeight="1" x14ac:dyDescent="0.3">
      <c r="A25" s="60" t="s">
        <v>47</v>
      </c>
      <c r="B25" s="59"/>
      <c r="C25" s="59"/>
      <c r="D25" s="59"/>
    </row>
    <row r="26" spans="1:4" ht="16.05" customHeight="1" x14ac:dyDescent="0.3">
      <c r="A26" s="60" t="s">
        <v>48</v>
      </c>
      <c r="B26" s="59"/>
      <c r="C26" s="59"/>
      <c r="D26" s="59"/>
    </row>
  </sheetData>
  <mergeCells count="12">
    <mergeCell ref="A26:D26"/>
    <mergeCell ref="A7:D7"/>
    <mergeCell ref="A25:D25"/>
    <mergeCell ref="A24:D24"/>
    <mergeCell ref="A19:D19"/>
    <mergeCell ref="A1:D1"/>
    <mergeCell ref="A23:D23"/>
    <mergeCell ref="A18:D18"/>
    <mergeCell ref="A22:D22"/>
    <mergeCell ref="A20:D20"/>
    <mergeCell ref="A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62" customWidth="1"/>
    <col min="4" max="4" width="14" customWidth="1"/>
  </cols>
  <sheetData>
    <row r="1" spans="1:4" ht="22.05" customHeight="1" x14ac:dyDescent="0.3">
      <c r="A1" s="28" t="s">
        <v>7</v>
      </c>
      <c r="B1" s="28" t="s">
        <v>49</v>
      </c>
      <c r="C1" s="28" t="s">
        <v>50</v>
      </c>
      <c r="D1" s="28" t="s">
        <v>51</v>
      </c>
    </row>
    <row r="2" spans="1:4" ht="16.05" customHeight="1" x14ac:dyDescent="0.3">
      <c r="A2" s="29" t="s">
        <v>14</v>
      </c>
      <c r="B2" s="29" t="s">
        <v>52</v>
      </c>
      <c r="C2" s="29"/>
      <c r="D2" s="29"/>
    </row>
    <row r="3" spans="1:4" ht="15" customHeight="1" x14ac:dyDescent="0.3">
      <c r="A3" s="15" t="s">
        <v>14</v>
      </c>
      <c r="B3" s="15" t="s">
        <v>52</v>
      </c>
      <c r="C3" s="15" t="s">
        <v>53</v>
      </c>
      <c r="D3" s="14" t="s">
        <v>54</v>
      </c>
    </row>
    <row r="4" spans="1:4" ht="15" customHeight="1" x14ac:dyDescent="0.3">
      <c r="A4" s="15" t="s">
        <v>14</v>
      </c>
      <c r="B4" s="15" t="s">
        <v>52</v>
      </c>
      <c r="C4" s="15" t="s">
        <v>55</v>
      </c>
      <c r="D4" s="14" t="s">
        <v>54</v>
      </c>
    </row>
    <row r="5" spans="1:4" ht="15" customHeight="1" x14ac:dyDescent="0.3">
      <c r="A5" s="15" t="s">
        <v>14</v>
      </c>
      <c r="B5" s="15" t="s">
        <v>52</v>
      </c>
      <c r="C5" s="15" t="s">
        <v>56</v>
      </c>
      <c r="D5" s="14" t="s">
        <v>54</v>
      </c>
    </row>
    <row r="6" spans="1:4" ht="15" customHeight="1" x14ac:dyDescent="0.3">
      <c r="A6" s="15" t="s">
        <v>14</v>
      </c>
      <c r="B6" s="15" t="s">
        <v>52</v>
      </c>
      <c r="C6" s="15" t="s">
        <v>57</v>
      </c>
      <c r="D6" s="14" t="s">
        <v>54</v>
      </c>
    </row>
    <row r="7" spans="1:4" ht="16.05" customHeight="1" x14ac:dyDescent="0.3">
      <c r="A7" s="29" t="s">
        <v>14</v>
      </c>
      <c r="B7" s="29" t="s">
        <v>58</v>
      </c>
      <c r="C7" s="29"/>
      <c r="D7" s="29"/>
    </row>
    <row r="8" spans="1:4" ht="15" customHeight="1" x14ac:dyDescent="0.3">
      <c r="A8" s="15" t="s">
        <v>14</v>
      </c>
      <c r="B8" s="15" t="s">
        <v>58</v>
      </c>
      <c r="C8" s="15" t="s">
        <v>59</v>
      </c>
      <c r="D8" s="14" t="s">
        <v>54</v>
      </c>
    </row>
    <row r="9" spans="1:4" ht="15" customHeight="1" x14ac:dyDescent="0.3">
      <c r="A9" s="15" t="s">
        <v>14</v>
      </c>
      <c r="B9" s="15" t="s">
        <v>58</v>
      </c>
      <c r="C9" s="15" t="s">
        <v>60</v>
      </c>
      <c r="D9" s="14" t="s">
        <v>54</v>
      </c>
    </row>
    <row r="10" spans="1:4" ht="15" customHeight="1" x14ac:dyDescent="0.3">
      <c r="A10" s="15" t="s">
        <v>14</v>
      </c>
      <c r="B10" s="15" t="s">
        <v>58</v>
      </c>
      <c r="C10" s="15" t="s">
        <v>61</v>
      </c>
      <c r="D10" s="14" t="s">
        <v>54</v>
      </c>
    </row>
    <row r="11" spans="1:4" ht="15" customHeight="1" x14ac:dyDescent="0.3">
      <c r="A11" s="15" t="s">
        <v>14</v>
      </c>
      <c r="B11" s="15" t="s">
        <v>58</v>
      </c>
      <c r="C11" s="15" t="s">
        <v>62</v>
      </c>
      <c r="D11" s="14" t="s">
        <v>54</v>
      </c>
    </row>
    <row r="12" spans="1:4" ht="16.05" customHeight="1" x14ac:dyDescent="0.3">
      <c r="A12" s="29" t="s">
        <v>14</v>
      </c>
      <c r="B12" s="29" t="s">
        <v>63</v>
      </c>
      <c r="C12" s="29"/>
      <c r="D12" s="29"/>
    </row>
    <row r="13" spans="1:4" ht="15" customHeight="1" x14ac:dyDescent="0.3">
      <c r="A13" s="15" t="s">
        <v>14</v>
      </c>
      <c r="B13" s="15" t="s">
        <v>63</v>
      </c>
      <c r="C13" s="15" t="s">
        <v>64</v>
      </c>
      <c r="D13" s="14" t="s">
        <v>54</v>
      </c>
    </row>
    <row r="14" spans="1:4" ht="15" customHeight="1" x14ac:dyDescent="0.3">
      <c r="A14" s="15" t="s">
        <v>14</v>
      </c>
      <c r="B14" s="15" t="s">
        <v>63</v>
      </c>
      <c r="C14" s="15" t="s">
        <v>65</v>
      </c>
      <c r="D14" s="14" t="s">
        <v>54</v>
      </c>
    </row>
    <row r="15" spans="1:4" ht="15" customHeight="1" x14ac:dyDescent="0.3">
      <c r="A15" s="15" t="s">
        <v>14</v>
      </c>
      <c r="B15" s="15" t="s">
        <v>63</v>
      </c>
      <c r="C15" s="15" t="s">
        <v>66</v>
      </c>
      <c r="D15" s="14" t="s">
        <v>54</v>
      </c>
    </row>
    <row r="16" spans="1:4" ht="15" customHeight="1" x14ac:dyDescent="0.3">
      <c r="A16" s="15" t="s">
        <v>14</v>
      </c>
      <c r="B16" s="15" t="s">
        <v>63</v>
      </c>
      <c r="C16" s="15" t="s">
        <v>67</v>
      </c>
      <c r="D16" s="14" t="s">
        <v>54</v>
      </c>
    </row>
    <row r="17" spans="1:4" ht="16.05" customHeight="1" x14ac:dyDescent="0.3">
      <c r="A17" s="29" t="s">
        <v>14</v>
      </c>
      <c r="B17" s="29" t="s">
        <v>68</v>
      </c>
      <c r="C17" s="29"/>
      <c r="D17" s="29"/>
    </row>
    <row r="18" spans="1:4" ht="15" customHeight="1" x14ac:dyDescent="0.3">
      <c r="A18" s="15" t="s">
        <v>14</v>
      </c>
      <c r="B18" s="15" t="s">
        <v>68</v>
      </c>
      <c r="C18" s="15" t="s">
        <v>69</v>
      </c>
      <c r="D18" s="14" t="s">
        <v>54</v>
      </c>
    </row>
    <row r="19" spans="1:4" ht="15" customHeight="1" x14ac:dyDescent="0.3">
      <c r="A19" s="15" t="s">
        <v>14</v>
      </c>
      <c r="B19" s="15" t="s">
        <v>68</v>
      </c>
      <c r="C19" s="15" t="s">
        <v>70</v>
      </c>
      <c r="D19" s="14" t="s">
        <v>54</v>
      </c>
    </row>
    <row r="20" spans="1:4" ht="15" customHeight="1" x14ac:dyDescent="0.3">
      <c r="A20" s="15" t="s">
        <v>14</v>
      </c>
      <c r="B20" s="15" t="s">
        <v>68</v>
      </c>
      <c r="C20" s="15" t="s">
        <v>71</v>
      </c>
      <c r="D20" s="14" t="s">
        <v>54</v>
      </c>
    </row>
    <row r="21" spans="1:4" ht="15" customHeight="1" x14ac:dyDescent="0.3">
      <c r="A21" s="15" t="s">
        <v>14</v>
      </c>
      <c r="B21" s="15" t="s">
        <v>68</v>
      </c>
      <c r="C21" s="15" t="s">
        <v>72</v>
      </c>
      <c r="D21" s="14" t="s">
        <v>54</v>
      </c>
    </row>
    <row r="22" spans="1:4" ht="16.05" customHeight="1" x14ac:dyDescent="0.3">
      <c r="A22" s="29" t="s">
        <v>18</v>
      </c>
      <c r="B22" s="29" t="s">
        <v>73</v>
      </c>
      <c r="C22" s="29"/>
      <c r="D22" s="29"/>
    </row>
    <row r="23" spans="1:4" ht="15" customHeight="1" x14ac:dyDescent="0.3">
      <c r="A23" s="17" t="s">
        <v>18</v>
      </c>
      <c r="B23" s="17" t="s">
        <v>73</v>
      </c>
      <c r="C23" s="17" t="s">
        <v>74</v>
      </c>
      <c r="D23" s="16" t="s">
        <v>54</v>
      </c>
    </row>
    <row r="24" spans="1:4" ht="15" customHeight="1" x14ac:dyDescent="0.3">
      <c r="A24" s="17" t="s">
        <v>18</v>
      </c>
      <c r="B24" s="17" t="s">
        <v>73</v>
      </c>
      <c r="C24" s="17" t="s">
        <v>75</v>
      </c>
      <c r="D24" s="16" t="s">
        <v>54</v>
      </c>
    </row>
    <row r="25" spans="1:4" ht="15" customHeight="1" x14ac:dyDescent="0.3">
      <c r="A25" s="17" t="s">
        <v>18</v>
      </c>
      <c r="B25" s="17" t="s">
        <v>73</v>
      </c>
      <c r="C25" s="17" t="s">
        <v>76</v>
      </c>
      <c r="D25" s="16" t="s">
        <v>54</v>
      </c>
    </row>
    <row r="26" spans="1:4" ht="15" customHeight="1" x14ac:dyDescent="0.3">
      <c r="A26" s="17" t="s">
        <v>18</v>
      </c>
      <c r="B26" s="17" t="s">
        <v>73</v>
      </c>
      <c r="C26" s="17" t="s">
        <v>77</v>
      </c>
      <c r="D26" s="16" t="s">
        <v>54</v>
      </c>
    </row>
    <row r="27" spans="1:4" ht="16.05" customHeight="1" x14ac:dyDescent="0.3">
      <c r="A27" s="29" t="s">
        <v>18</v>
      </c>
      <c r="B27" s="29" t="s">
        <v>78</v>
      </c>
      <c r="C27" s="29"/>
      <c r="D27" s="29"/>
    </row>
    <row r="28" spans="1:4" ht="15" customHeight="1" x14ac:dyDescent="0.3">
      <c r="A28" s="17" t="s">
        <v>18</v>
      </c>
      <c r="B28" s="17" t="s">
        <v>78</v>
      </c>
      <c r="C28" s="17" t="s">
        <v>79</v>
      </c>
      <c r="D28" s="16" t="s">
        <v>54</v>
      </c>
    </row>
    <row r="29" spans="1:4" ht="15" customHeight="1" x14ac:dyDescent="0.3">
      <c r="A29" s="17" t="s">
        <v>18</v>
      </c>
      <c r="B29" s="17" t="s">
        <v>78</v>
      </c>
      <c r="C29" s="17" t="s">
        <v>80</v>
      </c>
      <c r="D29" s="16" t="s">
        <v>54</v>
      </c>
    </row>
    <row r="30" spans="1:4" ht="15" customHeight="1" x14ac:dyDescent="0.3">
      <c r="A30" s="17" t="s">
        <v>18</v>
      </c>
      <c r="B30" s="17" t="s">
        <v>78</v>
      </c>
      <c r="C30" s="17" t="s">
        <v>81</v>
      </c>
      <c r="D30" s="16" t="s">
        <v>54</v>
      </c>
    </row>
    <row r="31" spans="1:4" ht="15" customHeight="1" x14ac:dyDescent="0.3">
      <c r="A31" s="17" t="s">
        <v>18</v>
      </c>
      <c r="B31" s="17" t="s">
        <v>78</v>
      </c>
      <c r="C31" s="17" t="s">
        <v>82</v>
      </c>
      <c r="D31" s="16" t="s">
        <v>54</v>
      </c>
    </row>
    <row r="32" spans="1:4" ht="16.05" customHeight="1" x14ac:dyDescent="0.3">
      <c r="A32" s="29" t="s">
        <v>22</v>
      </c>
      <c r="B32" s="29" t="s">
        <v>83</v>
      </c>
      <c r="C32" s="29"/>
      <c r="D32" s="29"/>
    </row>
    <row r="33" spans="1:4" ht="15" customHeight="1" x14ac:dyDescent="0.3">
      <c r="A33" s="19" t="s">
        <v>22</v>
      </c>
      <c r="B33" s="19" t="s">
        <v>83</v>
      </c>
      <c r="C33" s="19" t="s">
        <v>84</v>
      </c>
      <c r="D33" s="18" t="s">
        <v>54</v>
      </c>
    </row>
    <row r="34" spans="1:4" ht="15" customHeight="1" x14ac:dyDescent="0.3">
      <c r="A34" s="19" t="s">
        <v>22</v>
      </c>
      <c r="B34" s="19" t="s">
        <v>83</v>
      </c>
      <c r="C34" s="19" t="s">
        <v>85</v>
      </c>
      <c r="D34" s="18" t="s">
        <v>54</v>
      </c>
    </row>
    <row r="35" spans="1:4" ht="15" customHeight="1" x14ac:dyDescent="0.3">
      <c r="A35" s="19" t="s">
        <v>22</v>
      </c>
      <c r="B35" s="19" t="s">
        <v>83</v>
      </c>
      <c r="C35" s="19" t="s">
        <v>86</v>
      </c>
      <c r="D35" s="18" t="s">
        <v>54</v>
      </c>
    </row>
    <row r="36" spans="1:4" ht="15" customHeight="1" x14ac:dyDescent="0.3">
      <c r="A36" s="19" t="s">
        <v>22</v>
      </c>
      <c r="B36" s="19" t="s">
        <v>83</v>
      </c>
      <c r="C36" s="19" t="s">
        <v>87</v>
      </c>
      <c r="D36" s="18" t="s">
        <v>54</v>
      </c>
    </row>
    <row r="37" spans="1:4" ht="16.05" customHeight="1" x14ac:dyDescent="0.3">
      <c r="A37" s="29" t="s">
        <v>22</v>
      </c>
      <c r="B37" s="29" t="s">
        <v>88</v>
      </c>
      <c r="C37" s="29"/>
      <c r="D37" s="29"/>
    </row>
    <row r="38" spans="1:4" ht="15" customHeight="1" x14ac:dyDescent="0.3">
      <c r="A38" s="19" t="s">
        <v>22</v>
      </c>
      <c r="B38" s="19" t="s">
        <v>88</v>
      </c>
      <c r="C38" s="19" t="s">
        <v>89</v>
      </c>
      <c r="D38" s="18" t="s">
        <v>54</v>
      </c>
    </row>
    <row r="39" spans="1:4" ht="15" customHeight="1" x14ac:dyDescent="0.3">
      <c r="A39" s="19" t="s">
        <v>22</v>
      </c>
      <c r="B39" s="19" t="s">
        <v>88</v>
      </c>
      <c r="C39" s="19" t="s">
        <v>90</v>
      </c>
      <c r="D39" s="18" t="s">
        <v>54</v>
      </c>
    </row>
    <row r="40" spans="1:4" ht="15" customHeight="1" x14ac:dyDescent="0.3">
      <c r="A40" s="19" t="s">
        <v>22</v>
      </c>
      <c r="B40" s="19" t="s">
        <v>88</v>
      </c>
      <c r="C40" s="19" t="s">
        <v>91</v>
      </c>
      <c r="D40" s="18" t="s">
        <v>54</v>
      </c>
    </row>
    <row r="41" spans="1:4" ht="15" customHeight="1" x14ac:dyDescent="0.3">
      <c r="A41" s="19" t="s">
        <v>22</v>
      </c>
      <c r="B41" s="19" t="s">
        <v>88</v>
      </c>
      <c r="C41" s="19" t="s">
        <v>92</v>
      </c>
      <c r="D41" s="18" t="s">
        <v>54</v>
      </c>
    </row>
    <row r="42" spans="1:4" ht="16.05" customHeight="1" x14ac:dyDescent="0.3">
      <c r="A42" s="29" t="s">
        <v>22</v>
      </c>
      <c r="B42" s="29" t="s">
        <v>93</v>
      </c>
      <c r="C42" s="29"/>
      <c r="D42" s="29"/>
    </row>
    <row r="43" spans="1:4" ht="15" customHeight="1" x14ac:dyDescent="0.3">
      <c r="A43" s="19" t="s">
        <v>22</v>
      </c>
      <c r="B43" s="19" t="s">
        <v>93</v>
      </c>
      <c r="C43" s="19" t="s">
        <v>94</v>
      </c>
      <c r="D43" s="18" t="s">
        <v>54</v>
      </c>
    </row>
    <row r="44" spans="1:4" ht="15" customHeight="1" x14ac:dyDescent="0.3">
      <c r="A44" s="19" t="s">
        <v>22</v>
      </c>
      <c r="B44" s="19" t="s">
        <v>93</v>
      </c>
      <c r="C44" s="19" t="s">
        <v>95</v>
      </c>
      <c r="D44" s="18" t="s">
        <v>54</v>
      </c>
    </row>
    <row r="45" spans="1:4" ht="15" customHeight="1" x14ac:dyDescent="0.3">
      <c r="A45" s="19" t="s">
        <v>22</v>
      </c>
      <c r="B45" s="19" t="s">
        <v>93</v>
      </c>
      <c r="C45" s="19" t="s">
        <v>96</v>
      </c>
      <c r="D45" s="18" t="s">
        <v>54</v>
      </c>
    </row>
    <row r="46" spans="1:4" ht="15" customHeight="1" x14ac:dyDescent="0.3">
      <c r="A46" s="19" t="s">
        <v>22</v>
      </c>
      <c r="B46" s="19" t="s">
        <v>93</v>
      </c>
      <c r="C46" s="19" t="s">
        <v>97</v>
      </c>
      <c r="D46" s="18" t="s">
        <v>54</v>
      </c>
    </row>
    <row r="47" spans="1:4" ht="16.05" customHeight="1" x14ac:dyDescent="0.3">
      <c r="A47" s="29" t="s">
        <v>22</v>
      </c>
      <c r="B47" s="29" t="s">
        <v>98</v>
      </c>
      <c r="C47" s="29"/>
      <c r="D47" s="29"/>
    </row>
    <row r="48" spans="1:4" ht="15" customHeight="1" x14ac:dyDescent="0.3">
      <c r="A48" s="19" t="s">
        <v>22</v>
      </c>
      <c r="B48" s="19" t="s">
        <v>98</v>
      </c>
      <c r="C48" s="19" t="s">
        <v>99</v>
      </c>
      <c r="D48" s="18" t="s">
        <v>54</v>
      </c>
    </row>
    <row r="49" spans="1:4" ht="15" customHeight="1" x14ac:dyDescent="0.3">
      <c r="A49" s="19" t="s">
        <v>22</v>
      </c>
      <c r="B49" s="19" t="s">
        <v>98</v>
      </c>
      <c r="C49" s="19" t="s">
        <v>100</v>
      </c>
      <c r="D49" s="18" t="s">
        <v>54</v>
      </c>
    </row>
    <row r="50" spans="1:4" ht="15" customHeight="1" x14ac:dyDescent="0.3">
      <c r="A50" s="19" t="s">
        <v>22</v>
      </c>
      <c r="B50" s="19" t="s">
        <v>98</v>
      </c>
      <c r="C50" s="19" t="s">
        <v>101</v>
      </c>
      <c r="D50" s="18" t="s">
        <v>54</v>
      </c>
    </row>
    <row r="51" spans="1:4" ht="15" customHeight="1" x14ac:dyDescent="0.3">
      <c r="A51" s="19" t="s">
        <v>22</v>
      </c>
      <c r="B51" s="19" t="s">
        <v>98</v>
      </c>
      <c r="C51" s="19" t="s">
        <v>102</v>
      </c>
      <c r="D51" s="18" t="s">
        <v>54</v>
      </c>
    </row>
    <row r="52" spans="1:4" ht="16.05" customHeight="1" x14ac:dyDescent="0.3">
      <c r="A52" s="29" t="s">
        <v>22</v>
      </c>
      <c r="B52" s="29" t="s">
        <v>103</v>
      </c>
      <c r="C52" s="29"/>
      <c r="D52" s="29"/>
    </row>
    <row r="53" spans="1:4" ht="15" customHeight="1" x14ac:dyDescent="0.3">
      <c r="A53" s="19" t="s">
        <v>22</v>
      </c>
      <c r="B53" s="19" t="s">
        <v>103</v>
      </c>
      <c r="C53" s="19" t="s">
        <v>104</v>
      </c>
      <c r="D53" s="18" t="s">
        <v>54</v>
      </c>
    </row>
    <row r="54" spans="1:4" ht="15" customHeight="1" x14ac:dyDescent="0.3">
      <c r="A54" s="19" t="s">
        <v>22</v>
      </c>
      <c r="B54" s="19" t="s">
        <v>103</v>
      </c>
      <c r="C54" s="19" t="s">
        <v>105</v>
      </c>
      <c r="D54" s="18" t="s">
        <v>54</v>
      </c>
    </row>
    <row r="55" spans="1:4" ht="15" customHeight="1" x14ac:dyDescent="0.3">
      <c r="A55" s="19" t="s">
        <v>22</v>
      </c>
      <c r="B55" s="19" t="s">
        <v>103</v>
      </c>
      <c r="C55" s="19" t="s">
        <v>106</v>
      </c>
      <c r="D55" s="18" t="s">
        <v>54</v>
      </c>
    </row>
    <row r="56" spans="1:4" ht="15" customHeight="1" x14ac:dyDescent="0.3">
      <c r="A56" s="19" t="s">
        <v>22</v>
      </c>
      <c r="B56" s="19" t="s">
        <v>103</v>
      </c>
      <c r="C56" s="19" t="s">
        <v>107</v>
      </c>
      <c r="D56" s="18" t="s">
        <v>54</v>
      </c>
    </row>
    <row r="57" spans="1:4" ht="16.05" customHeight="1" x14ac:dyDescent="0.3">
      <c r="A57" s="29" t="s">
        <v>22</v>
      </c>
      <c r="B57" s="29" t="s">
        <v>108</v>
      </c>
      <c r="C57" s="29"/>
      <c r="D57" s="29"/>
    </row>
    <row r="58" spans="1:4" ht="15" customHeight="1" x14ac:dyDescent="0.3">
      <c r="A58" s="19" t="s">
        <v>22</v>
      </c>
      <c r="B58" s="19" t="s">
        <v>108</v>
      </c>
      <c r="C58" s="19" t="s">
        <v>109</v>
      </c>
      <c r="D58" s="18" t="s">
        <v>54</v>
      </c>
    </row>
    <row r="59" spans="1:4" ht="15" customHeight="1" x14ac:dyDescent="0.3">
      <c r="A59" s="19" t="s">
        <v>22</v>
      </c>
      <c r="B59" s="19" t="s">
        <v>108</v>
      </c>
      <c r="C59" s="19" t="s">
        <v>110</v>
      </c>
      <c r="D59" s="18" t="s">
        <v>54</v>
      </c>
    </row>
    <row r="60" spans="1:4" ht="15" customHeight="1" x14ac:dyDescent="0.3">
      <c r="A60" s="19" t="s">
        <v>22</v>
      </c>
      <c r="B60" s="19" t="s">
        <v>108</v>
      </c>
      <c r="C60" s="19" t="s">
        <v>111</v>
      </c>
      <c r="D60" s="18" t="s">
        <v>54</v>
      </c>
    </row>
    <row r="61" spans="1:4" ht="15" customHeight="1" x14ac:dyDescent="0.3">
      <c r="A61" s="19" t="s">
        <v>22</v>
      </c>
      <c r="B61" s="19" t="s">
        <v>108</v>
      </c>
      <c r="C61" s="19" t="s">
        <v>112</v>
      </c>
      <c r="D61" s="18" t="s">
        <v>54</v>
      </c>
    </row>
    <row r="62" spans="1:4" ht="16.05" customHeight="1" x14ac:dyDescent="0.3">
      <c r="A62" s="29" t="s">
        <v>113</v>
      </c>
      <c r="B62" s="29" t="s">
        <v>114</v>
      </c>
      <c r="C62" s="29"/>
      <c r="D62" s="29"/>
    </row>
    <row r="63" spans="1:4" ht="15" customHeight="1" x14ac:dyDescent="0.3">
      <c r="A63" s="21" t="s">
        <v>113</v>
      </c>
      <c r="B63" s="21" t="s">
        <v>114</v>
      </c>
      <c r="C63" s="21" t="s">
        <v>115</v>
      </c>
      <c r="D63" s="20" t="s">
        <v>54</v>
      </c>
    </row>
    <row r="64" spans="1:4" ht="15" customHeight="1" x14ac:dyDescent="0.3">
      <c r="A64" s="21" t="s">
        <v>113</v>
      </c>
      <c r="B64" s="21" t="s">
        <v>114</v>
      </c>
      <c r="C64" s="21" t="s">
        <v>116</v>
      </c>
      <c r="D64" s="20" t="s">
        <v>54</v>
      </c>
    </row>
    <row r="65" spans="1:4" ht="15" customHeight="1" x14ac:dyDescent="0.3">
      <c r="A65" s="21" t="s">
        <v>113</v>
      </c>
      <c r="B65" s="21" t="s">
        <v>114</v>
      </c>
      <c r="C65" s="21" t="s">
        <v>117</v>
      </c>
      <c r="D65" s="20" t="s">
        <v>54</v>
      </c>
    </row>
    <row r="66" spans="1:4" ht="15" customHeight="1" x14ac:dyDescent="0.3">
      <c r="A66" s="21" t="s">
        <v>113</v>
      </c>
      <c r="B66" s="21" t="s">
        <v>114</v>
      </c>
      <c r="C66" s="21" t="s">
        <v>118</v>
      </c>
      <c r="D66" s="20" t="s">
        <v>54</v>
      </c>
    </row>
    <row r="67" spans="1:4" ht="16.05" customHeight="1" x14ac:dyDescent="0.3">
      <c r="A67" s="29" t="s">
        <v>113</v>
      </c>
      <c r="B67" s="29" t="s">
        <v>119</v>
      </c>
      <c r="C67" s="29"/>
      <c r="D67" s="29"/>
    </row>
    <row r="68" spans="1:4" ht="15" customHeight="1" x14ac:dyDescent="0.3">
      <c r="A68" s="21" t="s">
        <v>113</v>
      </c>
      <c r="B68" s="21" t="s">
        <v>119</v>
      </c>
      <c r="C68" s="21" t="s">
        <v>120</v>
      </c>
      <c r="D68" s="20" t="s">
        <v>54</v>
      </c>
    </row>
    <row r="69" spans="1:4" ht="15" customHeight="1" x14ac:dyDescent="0.3">
      <c r="A69" s="21" t="s">
        <v>113</v>
      </c>
      <c r="B69" s="21" t="s">
        <v>119</v>
      </c>
      <c r="C69" s="21" t="s">
        <v>121</v>
      </c>
      <c r="D69" s="20" t="s">
        <v>54</v>
      </c>
    </row>
    <row r="70" spans="1:4" ht="15" customHeight="1" x14ac:dyDescent="0.3">
      <c r="A70" s="21" t="s">
        <v>113</v>
      </c>
      <c r="B70" s="21" t="s">
        <v>119</v>
      </c>
      <c r="C70" s="21" t="s">
        <v>122</v>
      </c>
      <c r="D70" s="20" t="s">
        <v>54</v>
      </c>
    </row>
    <row r="71" spans="1:4" ht="15" customHeight="1" x14ac:dyDescent="0.3">
      <c r="A71" s="21" t="s">
        <v>113</v>
      </c>
      <c r="B71" s="21" t="s">
        <v>119</v>
      </c>
      <c r="C71" s="21" t="s">
        <v>123</v>
      </c>
      <c r="D71" s="20" t="s">
        <v>54</v>
      </c>
    </row>
    <row r="72" spans="1:4" ht="16.05" customHeight="1" x14ac:dyDescent="0.3">
      <c r="A72" s="29" t="s">
        <v>113</v>
      </c>
      <c r="B72" s="29" t="s">
        <v>124</v>
      </c>
      <c r="C72" s="29"/>
      <c r="D72" s="29"/>
    </row>
    <row r="73" spans="1:4" ht="15" customHeight="1" x14ac:dyDescent="0.3">
      <c r="A73" s="21" t="s">
        <v>113</v>
      </c>
      <c r="B73" s="21" t="s">
        <v>124</v>
      </c>
      <c r="C73" s="21" t="s">
        <v>125</v>
      </c>
      <c r="D73" s="20" t="s">
        <v>54</v>
      </c>
    </row>
    <row r="74" spans="1:4" ht="15" customHeight="1" x14ac:dyDescent="0.3">
      <c r="A74" s="21" t="s">
        <v>113</v>
      </c>
      <c r="B74" s="21" t="s">
        <v>124</v>
      </c>
      <c r="C74" s="21" t="s">
        <v>126</v>
      </c>
      <c r="D74" s="20" t="s">
        <v>54</v>
      </c>
    </row>
    <row r="75" spans="1:4" ht="15" customHeight="1" x14ac:dyDescent="0.3">
      <c r="A75" s="21" t="s">
        <v>113</v>
      </c>
      <c r="B75" s="21" t="s">
        <v>124</v>
      </c>
      <c r="C75" s="21" t="s">
        <v>127</v>
      </c>
      <c r="D75" s="20" t="s">
        <v>54</v>
      </c>
    </row>
    <row r="76" spans="1:4" ht="15" customHeight="1" x14ac:dyDescent="0.3">
      <c r="A76" s="21" t="s">
        <v>113</v>
      </c>
      <c r="B76" s="21" t="s">
        <v>124</v>
      </c>
      <c r="C76" s="21" t="s">
        <v>128</v>
      </c>
      <c r="D76" s="20" t="s">
        <v>54</v>
      </c>
    </row>
    <row r="77" spans="1:4" ht="16.05" customHeight="1" x14ac:dyDescent="0.3">
      <c r="A77" s="29" t="s">
        <v>113</v>
      </c>
      <c r="B77" s="29" t="s">
        <v>129</v>
      </c>
      <c r="C77" s="29"/>
      <c r="D77" s="29"/>
    </row>
    <row r="78" spans="1:4" ht="15" customHeight="1" x14ac:dyDescent="0.3">
      <c r="A78" s="21" t="s">
        <v>113</v>
      </c>
      <c r="B78" s="21" t="s">
        <v>129</v>
      </c>
      <c r="C78" s="21" t="s">
        <v>130</v>
      </c>
      <c r="D78" s="20" t="s">
        <v>54</v>
      </c>
    </row>
    <row r="79" spans="1:4" ht="15" customHeight="1" x14ac:dyDescent="0.3">
      <c r="A79" s="21" t="s">
        <v>113</v>
      </c>
      <c r="B79" s="21" t="s">
        <v>129</v>
      </c>
      <c r="C79" s="21" t="s">
        <v>131</v>
      </c>
      <c r="D79" s="20" t="s">
        <v>54</v>
      </c>
    </row>
    <row r="80" spans="1:4" ht="15" customHeight="1" x14ac:dyDescent="0.3">
      <c r="A80" s="21" t="s">
        <v>113</v>
      </c>
      <c r="B80" s="21" t="s">
        <v>129</v>
      </c>
      <c r="C80" s="21" t="s">
        <v>132</v>
      </c>
      <c r="D80" s="20" t="s">
        <v>54</v>
      </c>
    </row>
    <row r="81" spans="1:4" ht="15" customHeight="1" x14ac:dyDescent="0.3">
      <c r="A81" s="21" t="s">
        <v>113</v>
      </c>
      <c r="B81" s="21" t="s">
        <v>129</v>
      </c>
      <c r="C81" s="21" t="s">
        <v>133</v>
      </c>
      <c r="D81" s="20" t="s">
        <v>54</v>
      </c>
    </row>
    <row r="82" spans="1:4" ht="16.05" customHeight="1" x14ac:dyDescent="0.3">
      <c r="A82" s="29" t="s">
        <v>134</v>
      </c>
      <c r="B82" s="29" t="s">
        <v>135</v>
      </c>
      <c r="C82" s="29"/>
      <c r="D82" s="29"/>
    </row>
    <row r="83" spans="1:4" ht="15" customHeight="1" x14ac:dyDescent="0.3">
      <c r="A83" s="23" t="s">
        <v>134</v>
      </c>
      <c r="B83" s="23" t="s">
        <v>135</v>
      </c>
      <c r="C83" s="23" t="s">
        <v>136</v>
      </c>
      <c r="D83" s="22" t="s">
        <v>54</v>
      </c>
    </row>
    <row r="84" spans="1:4" ht="15" customHeight="1" x14ac:dyDescent="0.3">
      <c r="A84" s="23" t="s">
        <v>134</v>
      </c>
      <c r="B84" s="23" t="s">
        <v>135</v>
      </c>
      <c r="C84" s="23" t="s">
        <v>137</v>
      </c>
      <c r="D84" s="22" t="s">
        <v>54</v>
      </c>
    </row>
    <row r="85" spans="1:4" ht="15" customHeight="1" x14ac:dyDescent="0.3">
      <c r="A85" s="23" t="s">
        <v>134</v>
      </c>
      <c r="B85" s="23" t="s">
        <v>135</v>
      </c>
      <c r="C85" s="23" t="s">
        <v>138</v>
      </c>
      <c r="D85" s="22" t="s">
        <v>54</v>
      </c>
    </row>
    <row r="86" spans="1:4" ht="15" customHeight="1" x14ac:dyDescent="0.3">
      <c r="A86" s="23" t="s">
        <v>134</v>
      </c>
      <c r="B86" s="23" t="s">
        <v>135</v>
      </c>
      <c r="C86" s="23" t="s">
        <v>139</v>
      </c>
      <c r="D86" s="22" t="s">
        <v>54</v>
      </c>
    </row>
    <row r="87" spans="1:4" ht="16.05" customHeight="1" x14ac:dyDescent="0.3">
      <c r="A87" s="29" t="s">
        <v>134</v>
      </c>
      <c r="B87" s="29" t="s">
        <v>140</v>
      </c>
      <c r="C87" s="29"/>
      <c r="D87" s="29"/>
    </row>
    <row r="88" spans="1:4" ht="15" customHeight="1" x14ac:dyDescent="0.3">
      <c r="A88" s="23" t="s">
        <v>134</v>
      </c>
      <c r="B88" s="23" t="s">
        <v>140</v>
      </c>
      <c r="C88" s="23" t="s">
        <v>141</v>
      </c>
      <c r="D88" s="22" t="s">
        <v>54</v>
      </c>
    </row>
    <row r="89" spans="1:4" ht="15" customHeight="1" x14ac:dyDescent="0.3">
      <c r="A89" s="23" t="s">
        <v>134</v>
      </c>
      <c r="B89" s="23" t="s">
        <v>140</v>
      </c>
      <c r="C89" s="23" t="s">
        <v>142</v>
      </c>
      <c r="D89" s="22" t="s">
        <v>54</v>
      </c>
    </row>
    <row r="90" spans="1:4" ht="15" customHeight="1" x14ac:dyDescent="0.3">
      <c r="A90" s="23" t="s">
        <v>134</v>
      </c>
      <c r="B90" s="23" t="s">
        <v>140</v>
      </c>
      <c r="C90" s="23" t="s">
        <v>143</v>
      </c>
      <c r="D90" s="22" t="s">
        <v>54</v>
      </c>
    </row>
    <row r="91" spans="1:4" ht="15" customHeight="1" x14ac:dyDescent="0.3">
      <c r="A91" s="23" t="s">
        <v>134</v>
      </c>
      <c r="B91" s="23" t="s">
        <v>140</v>
      </c>
      <c r="C91" s="23" t="s">
        <v>144</v>
      </c>
      <c r="D91" s="22" t="s">
        <v>54</v>
      </c>
    </row>
    <row r="92" spans="1:4" ht="16.05" customHeight="1" x14ac:dyDescent="0.3">
      <c r="A92" s="29" t="s">
        <v>134</v>
      </c>
      <c r="B92" s="29" t="s">
        <v>145</v>
      </c>
      <c r="C92" s="29"/>
      <c r="D92" s="29"/>
    </row>
    <row r="93" spans="1:4" ht="15" customHeight="1" x14ac:dyDescent="0.3">
      <c r="A93" s="23" t="s">
        <v>134</v>
      </c>
      <c r="B93" s="23" t="s">
        <v>145</v>
      </c>
      <c r="C93" s="23" t="s">
        <v>146</v>
      </c>
      <c r="D93" s="22" t="s">
        <v>54</v>
      </c>
    </row>
    <row r="94" spans="1:4" ht="15" customHeight="1" x14ac:dyDescent="0.3">
      <c r="A94" s="23" t="s">
        <v>134</v>
      </c>
      <c r="B94" s="23" t="s">
        <v>145</v>
      </c>
      <c r="C94" s="23" t="s">
        <v>147</v>
      </c>
      <c r="D94" s="22" t="s">
        <v>54</v>
      </c>
    </row>
    <row r="95" spans="1:4" ht="15" customHeight="1" x14ac:dyDescent="0.3">
      <c r="A95" s="23" t="s">
        <v>134</v>
      </c>
      <c r="B95" s="23" t="s">
        <v>145</v>
      </c>
      <c r="C95" s="23" t="s">
        <v>148</v>
      </c>
      <c r="D95" s="22" t="s">
        <v>54</v>
      </c>
    </row>
    <row r="96" spans="1:4" ht="15" customHeight="1" x14ac:dyDescent="0.3">
      <c r="A96" s="23" t="s">
        <v>134</v>
      </c>
      <c r="B96" s="23" t="s">
        <v>145</v>
      </c>
      <c r="C96" s="23" t="s">
        <v>149</v>
      </c>
      <c r="D96" s="22" t="s">
        <v>54</v>
      </c>
    </row>
    <row r="97" spans="1:4" ht="16.05" customHeight="1" x14ac:dyDescent="0.3">
      <c r="A97" s="29" t="s">
        <v>134</v>
      </c>
      <c r="B97" s="29" t="s">
        <v>150</v>
      </c>
      <c r="C97" s="29"/>
      <c r="D97" s="29"/>
    </row>
    <row r="98" spans="1:4" ht="15" customHeight="1" x14ac:dyDescent="0.3">
      <c r="A98" s="23" t="s">
        <v>134</v>
      </c>
      <c r="B98" s="23" t="s">
        <v>150</v>
      </c>
      <c r="C98" s="23" t="s">
        <v>151</v>
      </c>
      <c r="D98" s="22" t="s">
        <v>54</v>
      </c>
    </row>
    <row r="99" spans="1:4" ht="15" customHeight="1" x14ac:dyDescent="0.3">
      <c r="A99" s="23" t="s">
        <v>134</v>
      </c>
      <c r="B99" s="23" t="s">
        <v>150</v>
      </c>
      <c r="C99" s="23" t="s">
        <v>152</v>
      </c>
      <c r="D99" s="22" t="s">
        <v>54</v>
      </c>
    </row>
    <row r="100" spans="1:4" ht="15" customHeight="1" x14ac:dyDescent="0.3">
      <c r="A100" s="23" t="s">
        <v>134</v>
      </c>
      <c r="B100" s="23" t="s">
        <v>150</v>
      </c>
      <c r="C100" s="23" t="s">
        <v>153</v>
      </c>
      <c r="D100" s="22" t="s">
        <v>54</v>
      </c>
    </row>
    <row r="101" spans="1:4" ht="15" customHeight="1" x14ac:dyDescent="0.3">
      <c r="A101" s="23" t="s">
        <v>134</v>
      </c>
      <c r="B101" s="23" t="s">
        <v>150</v>
      </c>
      <c r="C101" s="23" t="s">
        <v>154</v>
      </c>
      <c r="D101" s="22" t="s">
        <v>54</v>
      </c>
    </row>
    <row r="102" spans="1:4" ht="16.05" customHeight="1" x14ac:dyDescent="0.3">
      <c r="A102" s="29" t="s">
        <v>134</v>
      </c>
      <c r="B102" s="29" t="s">
        <v>155</v>
      </c>
      <c r="C102" s="29"/>
      <c r="D102" s="29"/>
    </row>
    <row r="103" spans="1:4" ht="15" customHeight="1" x14ac:dyDescent="0.3">
      <c r="A103" s="23" t="s">
        <v>134</v>
      </c>
      <c r="B103" s="23" t="s">
        <v>155</v>
      </c>
      <c r="C103" s="23" t="s">
        <v>156</v>
      </c>
      <c r="D103" s="22" t="s">
        <v>54</v>
      </c>
    </row>
    <row r="104" spans="1:4" ht="15" customHeight="1" x14ac:dyDescent="0.3">
      <c r="A104" s="23" t="s">
        <v>134</v>
      </c>
      <c r="B104" s="23" t="s">
        <v>155</v>
      </c>
      <c r="C104" s="23" t="s">
        <v>157</v>
      </c>
      <c r="D104" s="22" t="s">
        <v>54</v>
      </c>
    </row>
    <row r="105" spans="1:4" ht="15" customHeight="1" x14ac:dyDescent="0.3">
      <c r="A105" s="23" t="s">
        <v>134</v>
      </c>
      <c r="B105" s="23" t="s">
        <v>155</v>
      </c>
      <c r="C105" s="23" t="s">
        <v>158</v>
      </c>
      <c r="D105" s="22" t="s">
        <v>54</v>
      </c>
    </row>
    <row r="106" spans="1:4" ht="15" customHeight="1" x14ac:dyDescent="0.3">
      <c r="A106" s="23" t="s">
        <v>134</v>
      </c>
      <c r="B106" s="23" t="s">
        <v>155</v>
      </c>
      <c r="C106" s="23" t="s">
        <v>159</v>
      </c>
      <c r="D106" s="22" t="s">
        <v>54</v>
      </c>
    </row>
    <row r="107" spans="1:4" ht="16.05" customHeight="1" x14ac:dyDescent="0.3">
      <c r="A107" s="29" t="s">
        <v>34</v>
      </c>
      <c r="B107" s="29" t="s">
        <v>160</v>
      </c>
      <c r="C107" s="29"/>
      <c r="D107" s="29"/>
    </row>
    <row r="108" spans="1:4" ht="15" customHeight="1" x14ac:dyDescent="0.3">
      <c r="A108" s="25" t="s">
        <v>34</v>
      </c>
      <c r="B108" s="25" t="s">
        <v>160</v>
      </c>
      <c r="C108" s="25" t="s">
        <v>161</v>
      </c>
      <c r="D108" s="24" t="s">
        <v>54</v>
      </c>
    </row>
    <row r="109" spans="1:4" ht="15" customHeight="1" x14ac:dyDescent="0.3">
      <c r="A109" s="25" t="s">
        <v>34</v>
      </c>
      <c r="B109" s="25" t="s">
        <v>160</v>
      </c>
      <c r="C109" s="25" t="s">
        <v>162</v>
      </c>
      <c r="D109" s="24" t="s">
        <v>54</v>
      </c>
    </row>
    <row r="110" spans="1:4" ht="15" customHeight="1" x14ac:dyDescent="0.3">
      <c r="A110" s="25" t="s">
        <v>34</v>
      </c>
      <c r="B110" s="25" t="s">
        <v>160</v>
      </c>
      <c r="C110" s="25" t="s">
        <v>163</v>
      </c>
      <c r="D110" s="24" t="s">
        <v>54</v>
      </c>
    </row>
    <row r="111" spans="1:4" ht="15" customHeight="1" x14ac:dyDescent="0.3">
      <c r="A111" s="25" t="s">
        <v>34</v>
      </c>
      <c r="B111" s="25" t="s">
        <v>160</v>
      </c>
      <c r="C111" s="25" t="s">
        <v>164</v>
      </c>
      <c r="D111" s="24" t="s">
        <v>54</v>
      </c>
    </row>
    <row r="112" spans="1:4" ht="16.05" customHeight="1" x14ac:dyDescent="0.3">
      <c r="A112" s="29" t="s">
        <v>34</v>
      </c>
      <c r="B112" s="29" t="s">
        <v>165</v>
      </c>
      <c r="C112" s="29"/>
      <c r="D112" s="29"/>
    </row>
    <row r="113" spans="1:4" ht="15" customHeight="1" x14ac:dyDescent="0.3">
      <c r="A113" s="25" t="s">
        <v>34</v>
      </c>
      <c r="B113" s="25" t="s">
        <v>165</v>
      </c>
      <c r="C113" s="25" t="s">
        <v>166</v>
      </c>
      <c r="D113" s="24" t="s">
        <v>54</v>
      </c>
    </row>
    <row r="114" spans="1:4" ht="15" customHeight="1" x14ac:dyDescent="0.3">
      <c r="A114" s="25" t="s">
        <v>34</v>
      </c>
      <c r="B114" s="25" t="s">
        <v>165</v>
      </c>
      <c r="C114" s="25" t="s">
        <v>167</v>
      </c>
      <c r="D114" s="24" t="s">
        <v>54</v>
      </c>
    </row>
    <row r="115" spans="1:4" ht="15" customHeight="1" x14ac:dyDescent="0.3">
      <c r="A115" s="25" t="s">
        <v>34</v>
      </c>
      <c r="B115" s="25" t="s">
        <v>165</v>
      </c>
      <c r="C115" s="25" t="s">
        <v>168</v>
      </c>
      <c r="D115" s="24" t="s">
        <v>54</v>
      </c>
    </row>
    <row r="116" spans="1:4" ht="15" customHeight="1" x14ac:dyDescent="0.3">
      <c r="A116" s="25" t="s">
        <v>34</v>
      </c>
      <c r="B116" s="25" t="s">
        <v>165</v>
      </c>
      <c r="C116" s="25" t="s">
        <v>169</v>
      </c>
      <c r="D116" s="24" t="s">
        <v>54</v>
      </c>
    </row>
    <row r="117" spans="1:4" ht="16.05" customHeight="1" x14ac:dyDescent="0.3">
      <c r="A117" s="29" t="s">
        <v>34</v>
      </c>
      <c r="B117" s="29" t="s">
        <v>170</v>
      </c>
      <c r="C117" s="29"/>
      <c r="D117" s="29"/>
    </row>
    <row r="118" spans="1:4" ht="15" customHeight="1" x14ac:dyDescent="0.3">
      <c r="A118" s="25" t="s">
        <v>34</v>
      </c>
      <c r="B118" s="25" t="s">
        <v>170</v>
      </c>
      <c r="C118" s="25" t="s">
        <v>171</v>
      </c>
      <c r="D118" s="24" t="s">
        <v>54</v>
      </c>
    </row>
    <row r="119" spans="1:4" ht="15" customHeight="1" x14ac:dyDescent="0.3">
      <c r="A119" s="25" t="s">
        <v>34</v>
      </c>
      <c r="B119" s="25" t="s">
        <v>170</v>
      </c>
      <c r="C119" s="25" t="s">
        <v>172</v>
      </c>
      <c r="D119" s="24" t="s">
        <v>54</v>
      </c>
    </row>
    <row r="120" spans="1:4" ht="15" customHeight="1" x14ac:dyDescent="0.3">
      <c r="A120" s="25" t="s">
        <v>34</v>
      </c>
      <c r="B120" s="25" t="s">
        <v>170</v>
      </c>
      <c r="C120" s="25" t="s">
        <v>173</v>
      </c>
      <c r="D120" s="24" t="s">
        <v>54</v>
      </c>
    </row>
    <row r="121" spans="1:4" ht="15" customHeight="1" x14ac:dyDescent="0.3">
      <c r="A121" s="25" t="s">
        <v>34</v>
      </c>
      <c r="B121" s="25" t="s">
        <v>170</v>
      </c>
      <c r="C121" s="25" t="s">
        <v>174</v>
      </c>
      <c r="D121" s="24" t="s">
        <v>54</v>
      </c>
    </row>
    <row r="122" spans="1:4" ht="16.05" customHeight="1" x14ac:dyDescent="0.3">
      <c r="A122" s="29" t="s">
        <v>34</v>
      </c>
      <c r="B122" s="29" t="s">
        <v>175</v>
      </c>
      <c r="C122" s="29"/>
      <c r="D122" s="29"/>
    </row>
    <row r="123" spans="1:4" ht="15" customHeight="1" x14ac:dyDescent="0.3">
      <c r="A123" s="25" t="s">
        <v>34</v>
      </c>
      <c r="B123" s="25" t="s">
        <v>175</v>
      </c>
      <c r="C123" s="25" t="s">
        <v>176</v>
      </c>
      <c r="D123" s="24" t="s">
        <v>54</v>
      </c>
    </row>
    <row r="124" spans="1:4" ht="15" customHeight="1" x14ac:dyDescent="0.3">
      <c r="A124" s="25" t="s">
        <v>34</v>
      </c>
      <c r="B124" s="25" t="s">
        <v>175</v>
      </c>
      <c r="C124" s="25" t="s">
        <v>177</v>
      </c>
      <c r="D124" s="24" t="s">
        <v>54</v>
      </c>
    </row>
    <row r="125" spans="1:4" ht="15" customHeight="1" x14ac:dyDescent="0.3">
      <c r="A125" s="25" t="s">
        <v>34</v>
      </c>
      <c r="B125" s="25" t="s">
        <v>175</v>
      </c>
      <c r="C125" s="25" t="s">
        <v>178</v>
      </c>
      <c r="D125" s="24" t="s">
        <v>54</v>
      </c>
    </row>
    <row r="126" spans="1:4" ht="15" customHeight="1" x14ac:dyDescent="0.3">
      <c r="A126" s="25" t="s">
        <v>34</v>
      </c>
      <c r="B126" s="25" t="s">
        <v>175</v>
      </c>
      <c r="C126" s="25" t="s">
        <v>179</v>
      </c>
      <c r="D126" s="24" t="s">
        <v>54</v>
      </c>
    </row>
    <row r="127" spans="1:4" ht="16.05" customHeight="1" x14ac:dyDescent="0.3">
      <c r="A127" s="29" t="s">
        <v>34</v>
      </c>
      <c r="B127" s="29" t="s">
        <v>180</v>
      </c>
      <c r="C127" s="29"/>
      <c r="D127" s="29"/>
    </row>
    <row r="128" spans="1:4" ht="15" customHeight="1" x14ac:dyDescent="0.3">
      <c r="A128" s="25" t="s">
        <v>34</v>
      </c>
      <c r="B128" s="25" t="s">
        <v>180</v>
      </c>
      <c r="C128" s="25" t="s">
        <v>181</v>
      </c>
      <c r="D128" s="24" t="s">
        <v>54</v>
      </c>
    </row>
    <row r="129" spans="1:4" ht="15" customHeight="1" x14ac:dyDescent="0.3">
      <c r="A129" s="25" t="s">
        <v>34</v>
      </c>
      <c r="B129" s="25" t="s">
        <v>180</v>
      </c>
      <c r="C129" s="25" t="s">
        <v>182</v>
      </c>
      <c r="D129" s="24" t="s">
        <v>54</v>
      </c>
    </row>
    <row r="130" spans="1:4" ht="15" customHeight="1" x14ac:dyDescent="0.3">
      <c r="A130" s="25" t="s">
        <v>34</v>
      </c>
      <c r="B130" s="25" t="s">
        <v>180</v>
      </c>
      <c r="C130" s="25" t="s">
        <v>183</v>
      </c>
      <c r="D130" s="24" t="s">
        <v>54</v>
      </c>
    </row>
    <row r="131" spans="1:4" ht="15" customHeight="1" x14ac:dyDescent="0.3">
      <c r="A131" s="25" t="s">
        <v>34</v>
      </c>
      <c r="B131" s="25" t="s">
        <v>180</v>
      </c>
      <c r="C131" s="25" t="s">
        <v>184</v>
      </c>
      <c r="D131" s="24" t="s">
        <v>54</v>
      </c>
    </row>
    <row r="132" spans="1:4" ht="16.05" customHeight="1" x14ac:dyDescent="0.3">
      <c r="A132" s="29" t="s">
        <v>38</v>
      </c>
      <c r="B132" s="29" t="s">
        <v>185</v>
      </c>
      <c r="C132" s="29"/>
      <c r="D132" s="29"/>
    </row>
    <row r="133" spans="1:4" ht="15" customHeight="1" x14ac:dyDescent="0.3">
      <c r="A133" s="27" t="s">
        <v>38</v>
      </c>
      <c r="B133" s="27" t="s">
        <v>185</v>
      </c>
      <c r="C133" s="27" t="s">
        <v>186</v>
      </c>
      <c r="D133" s="26" t="s">
        <v>54</v>
      </c>
    </row>
    <row r="134" spans="1:4" ht="15" customHeight="1" x14ac:dyDescent="0.3">
      <c r="A134" s="27" t="s">
        <v>38</v>
      </c>
      <c r="B134" s="27" t="s">
        <v>185</v>
      </c>
      <c r="C134" s="27" t="s">
        <v>187</v>
      </c>
      <c r="D134" s="26" t="s">
        <v>54</v>
      </c>
    </row>
    <row r="135" spans="1:4" ht="15" customHeight="1" x14ac:dyDescent="0.3">
      <c r="A135" s="27" t="s">
        <v>38</v>
      </c>
      <c r="B135" s="27" t="s">
        <v>185</v>
      </c>
      <c r="C135" s="27" t="s">
        <v>188</v>
      </c>
      <c r="D135" s="26" t="s">
        <v>54</v>
      </c>
    </row>
    <row r="136" spans="1:4" ht="15" customHeight="1" x14ac:dyDescent="0.3">
      <c r="A136" s="27" t="s">
        <v>38</v>
      </c>
      <c r="B136" s="27" t="s">
        <v>185</v>
      </c>
      <c r="C136" s="27" t="s">
        <v>189</v>
      </c>
      <c r="D136" s="26" t="s">
        <v>54</v>
      </c>
    </row>
    <row r="137" spans="1:4" ht="16.05" customHeight="1" x14ac:dyDescent="0.3">
      <c r="A137" s="29" t="s">
        <v>38</v>
      </c>
      <c r="B137" s="29" t="s">
        <v>190</v>
      </c>
      <c r="C137" s="29"/>
      <c r="D137" s="29"/>
    </row>
    <row r="138" spans="1:4" ht="15" customHeight="1" x14ac:dyDescent="0.3">
      <c r="A138" s="27" t="s">
        <v>38</v>
      </c>
      <c r="B138" s="27" t="s">
        <v>190</v>
      </c>
      <c r="C138" s="27" t="s">
        <v>191</v>
      </c>
      <c r="D138" s="26" t="s">
        <v>54</v>
      </c>
    </row>
    <row r="139" spans="1:4" ht="15" customHeight="1" x14ac:dyDescent="0.3">
      <c r="A139" s="27" t="s">
        <v>38</v>
      </c>
      <c r="B139" s="27" t="s">
        <v>190</v>
      </c>
      <c r="C139" s="27" t="s">
        <v>192</v>
      </c>
      <c r="D139" s="26" t="s">
        <v>54</v>
      </c>
    </row>
    <row r="140" spans="1:4" ht="15" customHeight="1" x14ac:dyDescent="0.3">
      <c r="A140" s="27" t="s">
        <v>38</v>
      </c>
      <c r="B140" s="27" t="s">
        <v>190</v>
      </c>
      <c r="C140" s="27" t="s">
        <v>193</v>
      </c>
      <c r="D140" s="26" t="s">
        <v>54</v>
      </c>
    </row>
    <row r="141" spans="1:4" ht="15" customHeight="1" x14ac:dyDescent="0.3">
      <c r="A141" s="27" t="s">
        <v>38</v>
      </c>
      <c r="B141" s="27" t="s">
        <v>190</v>
      </c>
      <c r="C141" s="27" t="s">
        <v>194</v>
      </c>
      <c r="D141" s="26" t="s">
        <v>54</v>
      </c>
    </row>
    <row r="142" spans="1:4" ht="16.05" customHeight="1" x14ac:dyDescent="0.3">
      <c r="A142" s="29" t="s">
        <v>38</v>
      </c>
      <c r="B142" s="29" t="s">
        <v>195</v>
      </c>
      <c r="C142" s="29"/>
      <c r="D142" s="29"/>
    </row>
    <row r="143" spans="1:4" ht="15" customHeight="1" x14ac:dyDescent="0.3">
      <c r="A143" s="27" t="s">
        <v>38</v>
      </c>
      <c r="B143" s="27" t="s">
        <v>195</v>
      </c>
      <c r="C143" s="27" t="s">
        <v>196</v>
      </c>
      <c r="D143" s="26" t="s">
        <v>54</v>
      </c>
    </row>
    <row r="144" spans="1:4" ht="15" customHeight="1" x14ac:dyDescent="0.3">
      <c r="A144" s="27" t="s">
        <v>38</v>
      </c>
      <c r="B144" s="27" t="s">
        <v>195</v>
      </c>
      <c r="C144" s="27" t="s">
        <v>197</v>
      </c>
      <c r="D144" s="26" t="s">
        <v>54</v>
      </c>
    </row>
    <row r="145" spans="1:4" ht="15" customHeight="1" x14ac:dyDescent="0.3">
      <c r="A145" s="27" t="s">
        <v>38</v>
      </c>
      <c r="B145" s="27" t="s">
        <v>195</v>
      </c>
      <c r="C145" s="27" t="s">
        <v>198</v>
      </c>
      <c r="D145" s="26" t="s">
        <v>54</v>
      </c>
    </row>
    <row r="146" spans="1:4" ht="15" customHeight="1" x14ac:dyDescent="0.3">
      <c r="A146" s="27" t="s">
        <v>38</v>
      </c>
      <c r="B146" s="27" t="s">
        <v>195</v>
      </c>
      <c r="C146" s="27" t="s">
        <v>199</v>
      </c>
      <c r="D146" s="26" t="s">
        <v>54</v>
      </c>
    </row>
    <row r="147" spans="1:4" ht="16.05" customHeight="1" x14ac:dyDescent="0.3">
      <c r="A147" s="29" t="s">
        <v>38</v>
      </c>
      <c r="B147" s="29" t="s">
        <v>200</v>
      </c>
      <c r="C147" s="29"/>
      <c r="D147" s="29"/>
    </row>
    <row r="148" spans="1:4" ht="15" customHeight="1" x14ac:dyDescent="0.3">
      <c r="A148" s="27" t="s">
        <v>38</v>
      </c>
      <c r="B148" s="27" t="s">
        <v>200</v>
      </c>
      <c r="C148" s="27" t="s">
        <v>201</v>
      </c>
      <c r="D148" s="26" t="s">
        <v>54</v>
      </c>
    </row>
    <row r="149" spans="1:4" ht="15" customHeight="1" x14ac:dyDescent="0.3">
      <c r="A149" s="27" t="s">
        <v>38</v>
      </c>
      <c r="B149" s="27" t="s">
        <v>200</v>
      </c>
      <c r="C149" s="27" t="s">
        <v>202</v>
      </c>
      <c r="D149" s="26" t="s">
        <v>54</v>
      </c>
    </row>
    <row r="150" spans="1:4" ht="15" customHeight="1" x14ac:dyDescent="0.3">
      <c r="A150" s="27" t="s">
        <v>38</v>
      </c>
      <c r="B150" s="27" t="s">
        <v>200</v>
      </c>
      <c r="C150" s="27" t="s">
        <v>203</v>
      </c>
      <c r="D150" s="26" t="s">
        <v>54</v>
      </c>
    </row>
    <row r="151" spans="1:4" ht="15" customHeight="1" x14ac:dyDescent="0.3">
      <c r="A151" s="27" t="s">
        <v>38</v>
      </c>
      <c r="B151" s="27" t="s">
        <v>200</v>
      </c>
      <c r="C151" s="27" t="s">
        <v>204</v>
      </c>
      <c r="D151" s="26" t="s">
        <v>54</v>
      </c>
    </row>
  </sheetData>
  <dataValidations count="1">
    <dataValidation type="list" allowBlank="1" showErrorMessage="1" errorTitle="Status" error="Choose: ✅ Done, 🔄 In Progress, or ⬜ Not Started" sqref="D2:D155" xr:uid="{00000000-0002-0000-0100-000000000000}">
      <formula1>"✅ Done,🔄 In Progress,⬜ 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8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6" customWidth="1"/>
    <col min="2" max="2" width="10" customWidth="1"/>
    <col min="3" max="3" width="14" customWidth="1"/>
    <col min="4" max="4" width="28" customWidth="1"/>
    <col min="5" max="5" width="14" customWidth="1"/>
    <col min="6" max="6" width="12" customWidth="1"/>
    <col min="7" max="7" width="26" customWidth="1"/>
    <col min="8" max="8" width="70" customWidth="1"/>
    <col min="9" max="10" width="10" customWidth="1"/>
    <col min="11" max="11" width="14" customWidth="1"/>
    <col min="12" max="12" width="12" customWidth="1"/>
    <col min="13" max="13" width="28" customWidth="1"/>
  </cols>
  <sheetData>
    <row r="1" spans="1:13" ht="30" customHeight="1" x14ac:dyDescent="0.3">
      <c r="A1" s="30" t="s">
        <v>205</v>
      </c>
      <c r="B1" s="30" t="s">
        <v>206</v>
      </c>
      <c r="C1" s="30" t="s">
        <v>7</v>
      </c>
      <c r="D1" s="30" t="s">
        <v>207</v>
      </c>
      <c r="E1" s="30" t="s">
        <v>208</v>
      </c>
      <c r="F1" s="30" t="s">
        <v>209</v>
      </c>
      <c r="G1" s="30" t="s">
        <v>210</v>
      </c>
      <c r="H1" s="30" t="s">
        <v>211</v>
      </c>
      <c r="I1" s="30" t="s">
        <v>212</v>
      </c>
      <c r="J1" s="30" t="s">
        <v>213</v>
      </c>
      <c r="K1" s="30" t="s">
        <v>214</v>
      </c>
      <c r="L1" s="30" t="s">
        <v>215</v>
      </c>
      <c r="M1" s="30" t="s">
        <v>216</v>
      </c>
    </row>
    <row r="2" spans="1:13" ht="18" customHeight="1" x14ac:dyDescent="0.3">
      <c r="A2" s="70" t="s">
        <v>217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30" customHeight="1" x14ac:dyDescent="0.3">
      <c r="A3" s="14">
        <v>1</v>
      </c>
      <c r="B3" s="14" t="s">
        <v>218</v>
      </c>
      <c r="C3" s="15" t="s">
        <v>14</v>
      </c>
      <c r="D3" s="31" t="s">
        <v>52</v>
      </c>
      <c r="E3" s="14" t="s">
        <v>219</v>
      </c>
      <c r="F3" s="14" t="s">
        <v>220</v>
      </c>
      <c r="G3" s="15" t="s">
        <v>14</v>
      </c>
      <c r="H3" s="31" t="s">
        <v>221</v>
      </c>
      <c r="I3" s="14">
        <v>3</v>
      </c>
      <c r="J3" s="14"/>
      <c r="K3" s="14"/>
      <c r="L3" s="14"/>
      <c r="M3" s="15"/>
    </row>
    <row r="4" spans="1:13" ht="30" customHeight="1" x14ac:dyDescent="0.3">
      <c r="A4" s="14">
        <v>1</v>
      </c>
      <c r="B4" s="14" t="s">
        <v>218</v>
      </c>
      <c r="C4" s="15" t="s">
        <v>14</v>
      </c>
      <c r="D4" s="31" t="s">
        <v>52</v>
      </c>
      <c r="E4" s="14" t="s">
        <v>222</v>
      </c>
      <c r="F4" s="14" t="s">
        <v>223</v>
      </c>
      <c r="G4" s="15" t="s">
        <v>224</v>
      </c>
      <c r="H4" s="31" t="s">
        <v>225</v>
      </c>
      <c r="I4" s="14">
        <v>3</v>
      </c>
      <c r="J4" s="14"/>
      <c r="K4" s="14"/>
      <c r="L4" s="14"/>
      <c r="M4" s="15"/>
    </row>
    <row r="5" spans="1:13" ht="30" customHeight="1" x14ac:dyDescent="0.3">
      <c r="A5" s="14">
        <v>1</v>
      </c>
      <c r="B5" s="14" t="s">
        <v>218</v>
      </c>
      <c r="C5" s="15" t="s">
        <v>14</v>
      </c>
      <c r="D5" s="31" t="s">
        <v>52</v>
      </c>
      <c r="E5" s="14" t="s">
        <v>226</v>
      </c>
      <c r="F5" s="14" t="s">
        <v>227</v>
      </c>
      <c r="G5" s="15" t="s">
        <v>228</v>
      </c>
      <c r="H5" s="31" t="s">
        <v>229</v>
      </c>
      <c r="I5" s="14">
        <v>3</v>
      </c>
      <c r="J5" s="14"/>
      <c r="K5" s="14"/>
      <c r="L5" s="14"/>
      <c r="M5" s="15"/>
    </row>
    <row r="6" spans="1:13" ht="30" customHeight="1" x14ac:dyDescent="0.3">
      <c r="A6" s="14">
        <v>1</v>
      </c>
      <c r="B6" s="14" t="s">
        <v>218</v>
      </c>
      <c r="C6" s="15" t="s">
        <v>14</v>
      </c>
      <c r="D6" s="31" t="s">
        <v>52</v>
      </c>
      <c r="E6" s="14" t="s">
        <v>230</v>
      </c>
      <c r="F6" s="14" t="s">
        <v>231</v>
      </c>
      <c r="G6" s="15" t="s">
        <v>232</v>
      </c>
      <c r="H6" s="31" t="s">
        <v>233</v>
      </c>
      <c r="I6" s="14">
        <v>3</v>
      </c>
      <c r="J6" s="14"/>
      <c r="K6" s="14"/>
      <c r="L6" s="14"/>
      <c r="M6" s="15"/>
    </row>
    <row r="7" spans="1:13" ht="30" customHeight="1" x14ac:dyDescent="0.3">
      <c r="A7" s="32">
        <v>1</v>
      </c>
      <c r="B7" s="32" t="s">
        <v>218</v>
      </c>
      <c r="C7" s="33" t="s">
        <v>14</v>
      </c>
      <c r="D7" s="34" t="s">
        <v>52</v>
      </c>
      <c r="E7" s="32" t="s">
        <v>234</v>
      </c>
      <c r="F7" s="32" t="s">
        <v>235</v>
      </c>
      <c r="G7" s="33" t="s">
        <v>236</v>
      </c>
      <c r="H7" s="34" t="s">
        <v>237</v>
      </c>
      <c r="I7" s="32">
        <v>5</v>
      </c>
      <c r="J7" s="32"/>
      <c r="K7" s="32"/>
      <c r="L7" s="32"/>
      <c r="M7" s="33"/>
    </row>
    <row r="8" spans="1:13" ht="30" customHeight="1" x14ac:dyDescent="0.3">
      <c r="A8" s="35">
        <v>1</v>
      </c>
      <c r="B8" s="35" t="s">
        <v>218</v>
      </c>
      <c r="C8" s="36" t="s">
        <v>14</v>
      </c>
      <c r="D8" s="37" t="s">
        <v>52</v>
      </c>
      <c r="E8" s="35" t="s">
        <v>238</v>
      </c>
      <c r="F8" s="35" t="s">
        <v>239</v>
      </c>
      <c r="G8" s="36" t="s">
        <v>240</v>
      </c>
      <c r="H8" s="37" t="s">
        <v>241</v>
      </c>
      <c r="I8" s="35">
        <v>2</v>
      </c>
      <c r="J8" s="35"/>
      <c r="K8" s="35"/>
      <c r="L8" s="35"/>
      <c r="M8" s="36"/>
    </row>
    <row r="9" spans="1:13" ht="30" customHeight="1" x14ac:dyDescent="0.3">
      <c r="A9" s="14">
        <v>1</v>
      </c>
      <c r="B9" s="14" t="s">
        <v>218</v>
      </c>
      <c r="C9" s="15" t="s">
        <v>14</v>
      </c>
      <c r="D9" s="31" t="s">
        <v>52</v>
      </c>
      <c r="E9" s="14" t="s">
        <v>242</v>
      </c>
      <c r="F9" s="14" t="s">
        <v>243</v>
      </c>
      <c r="G9" s="15" t="s">
        <v>14</v>
      </c>
      <c r="H9" s="31" t="s">
        <v>244</v>
      </c>
      <c r="I9" s="14">
        <v>3</v>
      </c>
      <c r="J9" s="14"/>
      <c r="K9" s="14"/>
      <c r="L9" s="14"/>
      <c r="M9" s="15"/>
    </row>
    <row r="10" spans="1:13" ht="30" customHeight="1" x14ac:dyDescent="0.3">
      <c r="A10" s="14">
        <v>2</v>
      </c>
      <c r="B10" s="14" t="s">
        <v>218</v>
      </c>
      <c r="C10" s="15" t="s">
        <v>14</v>
      </c>
      <c r="D10" s="31" t="s">
        <v>58</v>
      </c>
      <c r="E10" s="14" t="s">
        <v>245</v>
      </c>
      <c r="F10" s="14" t="s">
        <v>220</v>
      </c>
      <c r="G10" s="15" t="s">
        <v>14</v>
      </c>
      <c r="H10" s="31" t="s">
        <v>246</v>
      </c>
      <c r="I10" s="14">
        <v>3</v>
      </c>
      <c r="J10" s="14"/>
      <c r="K10" s="14"/>
      <c r="L10" s="14"/>
      <c r="M10" s="15"/>
    </row>
    <row r="11" spans="1:13" ht="30" customHeight="1" x14ac:dyDescent="0.3">
      <c r="A11" s="14">
        <v>2</v>
      </c>
      <c r="B11" s="14" t="s">
        <v>218</v>
      </c>
      <c r="C11" s="15" t="s">
        <v>14</v>
      </c>
      <c r="D11" s="31" t="s">
        <v>58</v>
      </c>
      <c r="E11" s="14" t="s">
        <v>247</v>
      </c>
      <c r="F11" s="14" t="s">
        <v>223</v>
      </c>
      <c r="G11" s="15" t="s">
        <v>224</v>
      </c>
      <c r="H11" s="31" t="s">
        <v>248</v>
      </c>
      <c r="I11" s="14">
        <v>3</v>
      </c>
      <c r="J11" s="14"/>
      <c r="K11" s="14"/>
      <c r="L11" s="14"/>
      <c r="M11" s="15"/>
    </row>
    <row r="12" spans="1:13" ht="30" customHeight="1" x14ac:dyDescent="0.3">
      <c r="A12" s="14">
        <v>2</v>
      </c>
      <c r="B12" s="14" t="s">
        <v>218</v>
      </c>
      <c r="C12" s="15" t="s">
        <v>14</v>
      </c>
      <c r="D12" s="31" t="s">
        <v>58</v>
      </c>
      <c r="E12" s="14" t="s">
        <v>249</v>
      </c>
      <c r="F12" s="14" t="s">
        <v>227</v>
      </c>
      <c r="G12" s="15" t="s">
        <v>228</v>
      </c>
      <c r="H12" s="31" t="s">
        <v>250</v>
      </c>
      <c r="I12" s="14">
        <v>3</v>
      </c>
      <c r="J12" s="14"/>
      <c r="K12" s="14"/>
      <c r="L12" s="14"/>
      <c r="M12" s="15"/>
    </row>
    <row r="13" spans="1:13" ht="30" customHeight="1" x14ac:dyDescent="0.3">
      <c r="A13" s="14">
        <v>2</v>
      </c>
      <c r="B13" s="14" t="s">
        <v>218</v>
      </c>
      <c r="C13" s="15" t="s">
        <v>14</v>
      </c>
      <c r="D13" s="31" t="s">
        <v>58</v>
      </c>
      <c r="E13" s="14" t="s">
        <v>251</v>
      </c>
      <c r="F13" s="14" t="s">
        <v>231</v>
      </c>
      <c r="G13" s="15" t="s">
        <v>232</v>
      </c>
      <c r="H13" s="31" t="s">
        <v>252</v>
      </c>
      <c r="I13" s="14">
        <v>3</v>
      </c>
      <c r="J13" s="14"/>
      <c r="K13" s="14"/>
      <c r="L13" s="14"/>
      <c r="M13" s="15"/>
    </row>
    <row r="14" spans="1:13" ht="30" customHeight="1" x14ac:dyDescent="0.3">
      <c r="A14" s="32">
        <v>2</v>
      </c>
      <c r="B14" s="32" t="s">
        <v>218</v>
      </c>
      <c r="C14" s="33" t="s">
        <v>14</v>
      </c>
      <c r="D14" s="34" t="s">
        <v>58</v>
      </c>
      <c r="E14" s="32" t="s">
        <v>253</v>
      </c>
      <c r="F14" s="32" t="s">
        <v>235</v>
      </c>
      <c r="G14" s="33" t="s">
        <v>236</v>
      </c>
      <c r="H14" s="34" t="s">
        <v>254</v>
      </c>
      <c r="I14" s="32">
        <v>5</v>
      </c>
      <c r="J14" s="32"/>
      <c r="K14" s="32"/>
      <c r="L14" s="32"/>
      <c r="M14" s="33"/>
    </row>
    <row r="15" spans="1:13" ht="30" customHeight="1" x14ac:dyDescent="0.3">
      <c r="A15" s="35">
        <v>2</v>
      </c>
      <c r="B15" s="35" t="s">
        <v>218</v>
      </c>
      <c r="C15" s="36" t="s">
        <v>14</v>
      </c>
      <c r="D15" s="37" t="s">
        <v>58</v>
      </c>
      <c r="E15" s="35" t="s">
        <v>255</v>
      </c>
      <c r="F15" s="35" t="s">
        <v>239</v>
      </c>
      <c r="G15" s="36" t="s">
        <v>240</v>
      </c>
      <c r="H15" s="37" t="s">
        <v>256</v>
      </c>
      <c r="I15" s="35">
        <v>2</v>
      </c>
      <c r="J15" s="35"/>
      <c r="K15" s="35"/>
      <c r="L15" s="35"/>
      <c r="M15" s="36"/>
    </row>
    <row r="16" spans="1:13" ht="30" customHeight="1" x14ac:dyDescent="0.3">
      <c r="A16" s="14">
        <v>2</v>
      </c>
      <c r="B16" s="14" t="s">
        <v>218</v>
      </c>
      <c r="C16" s="15" t="s">
        <v>14</v>
      </c>
      <c r="D16" s="31" t="s">
        <v>58</v>
      </c>
      <c r="E16" s="14" t="s">
        <v>257</v>
      </c>
      <c r="F16" s="14" t="s">
        <v>243</v>
      </c>
      <c r="G16" s="15" t="s">
        <v>14</v>
      </c>
      <c r="H16" s="31" t="s">
        <v>258</v>
      </c>
      <c r="I16" s="14">
        <v>3</v>
      </c>
      <c r="J16" s="14"/>
      <c r="K16" s="14"/>
      <c r="L16" s="14"/>
      <c r="M16" s="15"/>
    </row>
    <row r="17" spans="1:13" ht="30" customHeight="1" x14ac:dyDescent="0.3">
      <c r="A17" s="14">
        <v>3</v>
      </c>
      <c r="B17" s="14" t="s">
        <v>218</v>
      </c>
      <c r="C17" s="15" t="s">
        <v>14</v>
      </c>
      <c r="D17" s="31" t="s">
        <v>63</v>
      </c>
      <c r="E17" s="14" t="s">
        <v>259</v>
      </c>
      <c r="F17" s="14" t="s">
        <v>220</v>
      </c>
      <c r="G17" s="15" t="s">
        <v>14</v>
      </c>
      <c r="H17" s="31" t="s">
        <v>260</v>
      </c>
      <c r="I17" s="14">
        <v>3</v>
      </c>
      <c r="J17" s="14"/>
      <c r="K17" s="14"/>
      <c r="L17" s="14"/>
      <c r="M17" s="15"/>
    </row>
    <row r="18" spans="1:13" ht="30" customHeight="1" x14ac:dyDescent="0.3">
      <c r="A18" s="14">
        <v>3</v>
      </c>
      <c r="B18" s="14" t="s">
        <v>218</v>
      </c>
      <c r="C18" s="15" t="s">
        <v>14</v>
      </c>
      <c r="D18" s="31" t="s">
        <v>63</v>
      </c>
      <c r="E18" s="14" t="s">
        <v>261</v>
      </c>
      <c r="F18" s="14" t="s">
        <v>223</v>
      </c>
      <c r="G18" s="15" t="s">
        <v>224</v>
      </c>
      <c r="H18" s="31" t="s">
        <v>262</v>
      </c>
      <c r="I18" s="14">
        <v>3</v>
      </c>
      <c r="J18" s="14"/>
      <c r="K18" s="14"/>
      <c r="L18" s="14"/>
      <c r="M18" s="15"/>
    </row>
    <row r="19" spans="1:13" ht="30" customHeight="1" x14ac:dyDescent="0.3">
      <c r="A19" s="14">
        <v>3</v>
      </c>
      <c r="B19" s="14" t="s">
        <v>218</v>
      </c>
      <c r="C19" s="15" t="s">
        <v>14</v>
      </c>
      <c r="D19" s="31" t="s">
        <v>63</v>
      </c>
      <c r="E19" s="14" t="s">
        <v>263</v>
      </c>
      <c r="F19" s="14" t="s">
        <v>227</v>
      </c>
      <c r="G19" s="15" t="s">
        <v>228</v>
      </c>
      <c r="H19" s="31" t="s">
        <v>264</v>
      </c>
      <c r="I19" s="14">
        <v>3</v>
      </c>
      <c r="J19" s="14"/>
      <c r="K19" s="14"/>
      <c r="L19" s="14"/>
      <c r="M19" s="15"/>
    </row>
    <row r="20" spans="1:13" ht="30" customHeight="1" x14ac:dyDescent="0.3">
      <c r="A20" s="14">
        <v>3</v>
      </c>
      <c r="B20" s="14" t="s">
        <v>218</v>
      </c>
      <c r="C20" s="15" t="s">
        <v>14</v>
      </c>
      <c r="D20" s="31" t="s">
        <v>63</v>
      </c>
      <c r="E20" s="14" t="s">
        <v>265</v>
      </c>
      <c r="F20" s="14" t="s">
        <v>231</v>
      </c>
      <c r="G20" s="15" t="s">
        <v>232</v>
      </c>
      <c r="H20" s="31" t="s">
        <v>266</v>
      </c>
      <c r="I20" s="14">
        <v>3</v>
      </c>
      <c r="J20" s="14"/>
      <c r="K20" s="14"/>
      <c r="L20" s="14"/>
      <c r="M20" s="15"/>
    </row>
    <row r="21" spans="1:13" ht="30" customHeight="1" x14ac:dyDescent="0.3">
      <c r="A21" s="32">
        <v>3</v>
      </c>
      <c r="B21" s="32" t="s">
        <v>218</v>
      </c>
      <c r="C21" s="33" t="s">
        <v>14</v>
      </c>
      <c r="D21" s="34" t="s">
        <v>63</v>
      </c>
      <c r="E21" s="32" t="s">
        <v>267</v>
      </c>
      <c r="F21" s="32" t="s">
        <v>235</v>
      </c>
      <c r="G21" s="33" t="s">
        <v>236</v>
      </c>
      <c r="H21" s="34" t="s">
        <v>268</v>
      </c>
      <c r="I21" s="32">
        <v>5</v>
      </c>
      <c r="J21" s="32"/>
      <c r="K21" s="32"/>
      <c r="L21" s="32"/>
      <c r="M21" s="33"/>
    </row>
    <row r="22" spans="1:13" ht="30" customHeight="1" x14ac:dyDescent="0.3">
      <c r="A22" s="35">
        <v>3</v>
      </c>
      <c r="B22" s="35" t="s">
        <v>218</v>
      </c>
      <c r="C22" s="36" t="s">
        <v>14</v>
      </c>
      <c r="D22" s="37" t="s">
        <v>63</v>
      </c>
      <c r="E22" s="35" t="s">
        <v>269</v>
      </c>
      <c r="F22" s="35" t="s">
        <v>239</v>
      </c>
      <c r="G22" s="36" t="s">
        <v>240</v>
      </c>
      <c r="H22" s="37" t="s">
        <v>270</v>
      </c>
      <c r="I22" s="35">
        <v>2</v>
      </c>
      <c r="J22" s="35"/>
      <c r="K22" s="35"/>
      <c r="L22" s="35"/>
      <c r="M22" s="36"/>
    </row>
    <row r="23" spans="1:13" ht="30" customHeight="1" x14ac:dyDescent="0.3">
      <c r="A23" s="14">
        <v>3</v>
      </c>
      <c r="B23" s="14" t="s">
        <v>218</v>
      </c>
      <c r="C23" s="15" t="s">
        <v>14</v>
      </c>
      <c r="D23" s="31" t="s">
        <v>63</v>
      </c>
      <c r="E23" s="14" t="s">
        <v>271</v>
      </c>
      <c r="F23" s="14" t="s">
        <v>243</v>
      </c>
      <c r="G23" s="15" t="s">
        <v>14</v>
      </c>
      <c r="H23" s="31" t="s">
        <v>272</v>
      </c>
      <c r="I23" s="14">
        <v>3</v>
      </c>
      <c r="J23" s="14"/>
      <c r="K23" s="14"/>
      <c r="L23" s="14"/>
      <c r="M23" s="15"/>
    </row>
    <row r="24" spans="1:13" ht="30" customHeight="1" x14ac:dyDescent="0.3">
      <c r="A24" s="14">
        <v>4</v>
      </c>
      <c r="B24" s="14" t="s">
        <v>218</v>
      </c>
      <c r="C24" s="15" t="s">
        <v>14</v>
      </c>
      <c r="D24" s="31" t="s">
        <v>68</v>
      </c>
      <c r="E24" s="14" t="s">
        <v>273</v>
      </c>
      <c r="F24" s="14" t="s">
        <v>220</v>
      </c>
      <c r="G24" s="15" t="s">
        <v>14</v>
      </c>
      <c r="H24" s="31" t="s">
        <v>274</v>
      </c>
      <c r="I24" s="14">
        <v>3</v>
      </c>
      <c r="J24" s="14"/>
      <c r="K24" s="14"/>
      <c r="L24" s="14"/>
      <c r="M24" s="15"/>
    </row>
    <row r="25" spans="1:13" ht="30" customHeight="1" x14ac:dyDescent="0.3">
      <c r="A25" s="14">
        <v>4</v>
      </c>
      <c r="B25" s="14" t="s">
        <v>218</v>
      </c>
      <c r="C25" s="15" t="s">
        <v>14</v>
      </c>
      <c r="D25" s="31" t="s">
        <v>68</v>
      </c>
      <c r="E25" s="14" t="s">
        <v>275</v>
      </c>
      <c r="F25" s="14" t="s">
        <v>223</v>
      </c>
      <c r="G25" s="15" t="s">
        <v>224</v>
      </c>
      <c r="H25" s="31" t="s">
        <v>276</v>
      </c>
      <c r="I25" s="14">
        <v>3</v>
      </c>
      <c r="J25" s="14"/>
      <c r="K25" s="14"/>
      <c r="L25" s="14"/>
      <c r="M25" s="15"/>
    </row>
    <row r="26" spans="1:13" ht="30" customHeight="1" x14ac:dyDescent="0.3">
      <c r="A26" s="14">
        <v>4</v>
      </c>
      <c r="B26" s="14" t="s">
        <v>218</v>
      </c>
      <c r="C26" s="15" t="s">
        <v>14</v>
      </c>
      <c r="D26" s="31" t="s">
        <v>68</v>
      </c>
      <c r="E26" s="14" t="s">
        <v>277</v>
      </c>
      <c r="F26" s="14" t="s">
        <v>227</v>
      </c>
      <c r="G26" s="15" t="s">
        <v>228</v>
      </c>
      <c r="H26" s="31" t="s">
        <v>278</v>
      </c>
      <c r="I26" s="14">
        <v>3</v>
      </c>
      <c r="J26" s="14"/>
      <c r="K26" s="14"/>
      <c r="L26" s="14"/>
      <c r="M26" s="15"/>
    </row>
    <row r="27" spans="1:13" ht="30" customHeight="1" x14ac:dyDescent="0.3">
      <c r="A27" s="14">
        <v>4</v>
      </c>
      <c r="B27" s="14" t="s">
        <v>218</v>
      </c>
      <c r="C27" s="15" t="s">
        <v>14</v>
      </c>
      <c r="D27" s="31" t="s">
        <v>68</v>
      </c>
      <c r="E27" s="14" t="s">
        <v>279</v>
      </c>
      <c r="F27" s="14" t="s">
        <v>231</v>
      </c>
      <c r="G27" s="15" t="s">
        <v>232</v>
      </c>
      <c r="H27" s="31" t="s">
        <v>280</v>
      </c>
      <c r="I27" s="14">
        <v>3</v>
      </c>
      <c r="J27" s="14"/>
      <c r="K27" s="14"/>
      <c r="L27" s="14"/>
      <c r="M27" s="15"/>
    </row>
    <row r="28" spans="1:13" ht="30" customHeight="1" x14ac:dyDescent="0.3">
      <c r="A28" s="32">
        <v>4</v>
      </c>
      <c r="B28" s="32" t="s">
        <v>218</v>
      </c>
      <c r="C28" s="33" t="s">
        <v>14</v>
      </c>
      <c r="D28" s="34" t="s">
        <v>68</v>
      </c>
      <c r="E28" s="32" t="s">
        <v>281</v>
      </c>
      <c r="F28" s="32" t="s">
        <v>235</v>
      </c>
      <c r="G28" s="33" t="s">
        <v>236</v>
      </c>
      <c r="H28" s="34" t="s">
        <v>282</v>
      </c>
      <c r="I28" s="32">
        <v>5</v>
      </c>
      <c r="J28" s="32"/>
      <c r="K28" s="32"/>
      <c r="L28" s="32"/>
      <c r="M28" s="33"/>
    </row>
    <row r="29" spans="1:13" ht="30" customHeight="1" x14ac:dyDescent="0.3">
      <c r="A29" s="35">
        <v>4</v>
      </c>
      <c r="B29" s="35" t="s">
        <v>218</v>
      </c>
      <c r="C29" s="36" t="s">
        <v>14</v>
      </c>
      <c r="D29" s="37" t="s">
        <v>68</v>
      </c>
      <c r="E29" s="35" t="s">
        <v>283</v>
      </c>
      <c r="F29" s="35" t="s">
        <v>239</v>
      </c>
      <c r="G29" s="36" t="s">
        <v>240</v>
      </c>
      <c r="H29" s="37" t="s">
        <v>284</v>
      </c>
      <c r="I29" s="35">
        <v>2</v>
      </c>
      <c r="J29" s="35"/>
      <c r="K29" s="35"/>
      <c r="L29" s="35"/>
      <c r="M29" s="36"/>
    </row>
    <row r="30" spans="1:13" ht="30" customHeight="1" x14ac:dyDescent="0.3">
      <c r="A30" s="14">
        <v>4</v>
      </c>
      <c r="B30" s="14" t="s">
        <v>218</v>
      </c>
      <c r="C30" s="15" t="s">
        <v>14</v>
      </c>
      <c r="D30" s="31" t="s">
        <v>68</v>
      </c>
      <c r="E30" s="14" t="s">
        <v>285</v>
      </c>
      <c r="F30" s="14" t="s">
        <v>243</v>
      </c>
      <c r="G30" s="15" t="s">
        <v>14</v>
      </c>
      <c r="H30" s="31" t="s">
        <v>286</v>
      </c>
      <c r="I30" s="14">
        <v>3</v>
      </c>
      <c r="J30" s="14"/>
      <c r="K30" s="14"/>
      <c r="L30" s="14"/>
      <c r="M30" s="15"/>
    </row>
    <row r="31" spans="1:13" ht="18" customHeight="1" x14ac:dyDescent="0.3">
      <c r="A31" s="66" t="s">
        <v>287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30" customHeight="1" x14ac:dyDescent="0.3">
      <c r="A32" s="16">
        <v>5</v>
      </c>
      <c r="B32" s="16" t="s">
        <v>288</v>
      </c>
      <c r="C32" s="17" t="s">
        <v>18</v>
      </c>
      <c r="D32" s="38" t="s">
        <v>73</v>
      </c>
      <c r="E32" s="16" t="s">
        <v>289</v>
      </c>
      <c r="F32" s="16" t="s">
        <v>220</v>
      </c>
      <c r="G32" s="17" t="s">
        <v>18</v>
      </c>
      <c r="H32" s="38" t="s">
        <v>290</v>
      </c>
      <c r="I32" s="16">
        <v>3</v>
      </c>
      <c r="J32" s="16"/>
      <c r="K32" s="16"/>
      <c r="L32" s="16"/>
      <c r="M32" s="17"/>
    </row>
    <row r="33" spans="1:13" ht="30" customHeight="1" x14ac:dyDescent="0.3">
      <c r="A33" s="16">
        <v>5</v>
      </c>
      <c r="B33" s="16" t="s">
        <v>288</v>
      </c>
      <c r="C33" s="17" t="s">
        <v>18</v>
      </c>
      <c r="D33" s="38" t="s">
        <v>73</v>
      </c>
      <c r="E33" s="16" t="s">
        <v>291</v>
      </c>
      <c r="F33" s="16" t="s">
        <v>223</v>
      </c>
      <c r="G33" s="17" t="s">
        <v>292</v>
      </c>
      <c r="H33" s="38" t="s">
        <v>293</v>
      </c>
      <c r="I33" s="16">
        <v>3</v>
      </c>
      <c r="J33" s="16"/>
      <c r="K33" s="16"/>
      <c r="L33" s="16"/>
      <c r="M33" s="17"/>
    </row>
    <row r="34" spans="1:13" ht="30" customHeight="1" x14ac:dyDescent="0.3">
      <c r="A34" s="16">
        <v>5</v>
      </c>
      <c r="B34" s="16" t="s">
        <v>288</v>
      </c>
      <c r="C34" s="17" t="s">
        <v>18</v>
      </c>
      <c r="D34" s="38" t="s">
        <v>73</v>
      </c>
      <c r="E34" s="16" t="s">
        <v>294</v>
      </c>
      <c r="F34" s="16" t="s">
        <v>227</v>
      </c>
      <c r="G34" s="17" t="s">
        <v>295</v>
      </c>
      <c r="H34" s="38" t="s">
        <v>296</v>
      </c>
      <c r="I34" s="16">
        <v>3</v>
      </c>
      <c r="J34" s="16"/>
      <c r="K34" s="16"/>
      <c r="L34" s="16"/>
      <c r="M34" s="17"/>
    </row>
    <row r="35" spans="1:13" ht="30" customHeight="1" x14ac:dyDescent="0.3">
      <c r="A35" s="16">
        <v>5</v>
      </c>
      <c r="B35" s="16" t="s">
        <v>288</v>
      </c>
      <c r="C35" s="17" t="s">
        <v>18</v>
      </c>
      <c r="D35" s="38" t="s">
        <v>73</v>
      </c>
      <c r="E35" s="16" t="s">
        <v>297</v>
      </c>
      <c r="F35" s="16" t="s">
        <v>231</v>
      </c>
      <c r="G35" s="17" t="s">
        <v>298</v>
      </c>
      <c r="H35" s="38" t="s">
        <v>299</v>
      </c>
      <c r="I35" s="16">
        <v>3</v>
      </c>
      <c r="J35" s="16"/>
      <c r="K35" s="16"/>
      <c r="L35" s="16"/>
      <c r="M35" s="17"/>
    </row>
    <row r="36" spans="1:13" ht="30" customHeight="1" x14ac:dyDescent="0.3">
      <c r="A36" s="32">
        <v>5</v>
      </c>
      <c r="B36" s="32" t="s">
        <v>288</v>
      </c>
      <c r="C36" s="33" t="s">
        <v>18</v>
      </c>
      <c r="D36" s="34" t="s">
        <v>73</v>
      </c>
      <c r="E36" s="32" t="s">
        <v>300</v>
      </c>
      <c r="F36" s="32" t="s">
        <v>235</v>
      </c>
      <c r="G36" s="33" t="s">
        <v>236</v>
      </c>
      <c r="H36" s="34" t="s">
        <v>301</v>
      </c>
      <c r="I36" s="32">
        <v>5</v>
      </c>
      <c r="J36" s="32"/>
      <c r="K36" s="32"/>
      <c r="L36" s="32"/>
      <c r="M36" s="33"/>
    </row>
    <row r="37" spans="1:13" ht="30" customHeight="1" x14ac:dyDescent="0.3">
      <c r="A37" s="35">
        <v>5</v>
      </c>
      <c r="B37" s="35" t="s">
        <v>288</v>
      </c>
      <c r="C37" s="36" t="s">
        <v>18</v>
      </c>
      <c r="D37" s="37" t="s">
        <v>73</v>
      </c>
      <c r="E37" s="35" t="s">
        <v>302</v>
      </c>
      <c r="F37" s="35" t="s">
        <v>239</v>
      </c>
      <c r="G37" s="36" t="s">
        <v>240</v>
      </c>
      <c r="H37" s="37" t="s">
        <v>303</v>
      </c>
      <c r="I37" s="35">
        <v>2</v>
      </c>
      <c r="J37" s="35"/>
      <c r="K37" s="35"/>
      <c r="L37" s="35"/>
      <c r="M37" s="36"/>
    </row>
    <row r="38" spans="1:13" ht="30" customHeight="1" x14ac:dyDescent="0.3">
      <c r="A38" s="16">
        <v>5</v>
      </c>
      <c r="B38" s="16" t="s">
        <v>288</v>
      </c>
      <c r="C38" s="17" t="s">
        <v>18</v>
      </c>
      <c r="D38" s="38" t="s">
        <v>73</v>
      </c>
      <c r="E38" s="16" t="s">
        <v>304</v>
      </c>
      <c r="F38" s="16" t="s">
        <v>243</v>
      </c>
      <c r="G38" s="17" t="s">
        <v>18</v>
      </c>
      <c r="H38" s="38" t="s">
        <v>305</v>
      </c>
      <c r="I38" s="16">
        <v>3</v>
      </c>
      <c r="J38" s="16"/>
      <c r="K38" s="16"/>
      <c r="L38" s="16"/>
      <c r="M38" s="17"/>
    </row>
    <row r="39" spans="1:13" ht="30" customHeight="1" x14ac:dyDescent="0.3">
      <c r="A39" s="16">
        <v>6</v>
      </c>
      <c r="B39" s="16" t="s">
        <v>288</v>
      </c>
      <c r="C39" s="17" t="s">
        <v>18</v>
      </c>
      <c r="D39" s="38" t="s">
        <v>78</v>
      </c>
      <c r="E39" s="16" t="s">
        <v>306</v>
      </c>
      <c r="F39" s="16" t="s">
        <v>220</v>
      </c>
      <c r="G39" s="17" t="s">
        <v>18</v>
      </c>
      <c r="H39" s="38" t="s">
        <v>307</v>
      </c>
      <c r="I39" s="16">
        <v>3</v>
      </c>
      <c r="J39" s="16"/>
      <c r="K39" s="16"/>
      <c r="L39" s="16"/>
      <c r="M39" s="17"/>
    </row>
    <row r="40" spans="1:13" ht="30" customHeight="1" x14ac:dyDescent="0.3">
      <c r="A40" s="16">
        <v>6</v>
      </c>
      <c r="B40" s="16" t="s">
        <v>288</v>
      </c>
      <c r="C40" s="17" t="s">
        <v>18</v>
      </c>
      <c r="D40" s="38" t="s">
        <v>78</v>
      </c>
      <c r="E40" s="16" t="s">
        <v>308</v>
      </c>
      <c r="F40" s="16" t="s">
        <v>223</v>
      </c>
      <c r="G40" s="17" t="s">
        <v>292</v>
      </c>
      <c r="H40" s="38" t="s">
        <v>309</v>
      </c>
      <c r="I40" s="16">
        <v>3</v>
      </c>
      <c r="J40" s="16"/>
      <c r="K40" s="16"/>
      <c r="L40" s="16"/>
      <c r="M40" s="17"/>
    </row>
    <row r="41" spans="1:13" ht="30" customHeight="1" x14ac:dyDescent="0.3">
      <c r="A41" s="16">
        <v>6</v>
      </c>
      <c r="B41" s="16" t="s">
        <v>288</v>
      </c>
      <c r="C41" s="17" t="s">
        <v>18</v>
      </c>
      <c r="D41" s="38" t="s">
        <v>78</v>
      </c>
      <c r="E41" s="16" t="s">
        <v>310</v>
      </c>
      <c r="F41" s="16" t="s">
        <v>227</v>
      </c>
      <c r="G41" s="17" t="s">
        <v>295</v>
      </c>
      <c r="H41" s="38" t="s">
        <v>311</v>
      </c>
      <c r="I41" s="16">
        <v>3</v>
      </c>
      <c r="J41" s="16"/>
      <c r="K41" s="16"/>
      <c r="L41" s="16"/>
      <c r="M41" s="17"/>
    </row>
    <row r="42" spans="1:13" ht="30" customHeight="1" x14ac:dyDescent="0.3">
      <c r="A42" s="16">
        <v>6</v>
      </c>
      <c r="B42" s="16" t="s">
        <v>288</v>
      </c>
      <c r="C42" s="17" t="s">
        <v>18</v>
      </c>
      <c r="D42" s="38" t="s">
        <v>78</v>
      </c>
      <c r="E42" s="16" t="s">
        <v>312</v>
      </c>
      <c r="F42" s="16" t="s">
        <v>231</v>
      </c>
      <c r="G42" s="17" t="s">
        <v>298</v>
      </c>
      <c r="H42" s="38" t="s">
        <v>313</v>
      </c>
      <c r="I42" s="16">
        <v>3</v>
      </c>
      <c r="J42" s="16"/>
      <c r="K42" s="16"/>
      <c r="L42" s="16"/>
      <c r="M42" s="17"/>
    </row>
    <row r="43" spans="1:13" ht="30" customHeight="1" x14ac:dyDescent="0.3">
      <c r="A43" s="32">
        <v>6</v>
      </c>
      <c r="B43" s="32" t="s">
        <v>288</v>
      </c>
      <c r="C43" s="33" t="s">
        <v>18</v>
      </c>
      <c r="D43" s="34" t="s">
        <v>78</v>
      </c>
      <c r="E43" s="32" t="s">
        <v>314</v>
      </c>
      <c r="F43" s="32" t="s">
        <v>235</v>
      </c>
      <c r="G43" s="33" t="s">
        <v>236</v>
      </c>
      <c r="H43" s="34" t="s">
        <v>315</v>
      </c>
      <c r="I43" s="32">
        <v>5</v>
      </c>
      <c r="J43" s="32"/>
      <c r="K43" s="32"/>
      <c r="L43" s="32"/>
      <c r="M43" s="33"/>
    </row>
    <row r="44" spans="1:13" ht="30" customHeight="1" x14ac:dyDescent="0.3">
      <c r="A44" s="35">
        <v>6</v>
      </c>
      <c r="B44" s="35" t="s">
        <v>288</v>
      </c>
      <c r="C44" s="36" t="s">
        <v>18</v>
      </c>
      <c r="D44" s="37" t="s">
        <v>78</v>
      </c>
      <c r="E44" s="35" t="s">
        <v>316</v>
      </c>
      <c r="F44" s="35" t="s">
        <v>239</v>
      </c>
      <c r="G44" s="36" t="s">
        <v>240</v>
      </c>
      <c r="H44" s="37" t="s">
        <v>317</v>
      </c>
      <c r="I44" s="35">
        <v>2</v>
      </c>
      <c r="J44" s="35"/>
      <c r="K44" s="35"/>
      <c r="L44" s="35"/>
      <c r="M44" s="36"/>
    </row>
    <row r="45" spans="1:13" ht="30" customHeight="1" x14ac:dyDescent="0.3">
      <c r="A45" s="16">
        <v>6</v>
      </c>
      <c r="B45" s="16" t="s">
        <v>288</v>
      </c>
      <c r="C45" s="17" t="s">
        <v>18</v>
      </c>
      <c r="D45" s="38" t="s">
        <v>78</v>
      </c>
      <c r="E45" s="16" t="s">
        <v>318</v>
      </c>
      <c r="F45" s="16" t="s">
        <v>243</v>
      </c>
      <c r="G45" s="17" t="s">
        <v>18</v>
      </c>
      <c r="H45" s="38" t="s">
        <v>319</v>
      </c>
      <c r="I45" s="16">
        <v>3</v>
      </c>
      <c r="J45" s="16"/>
      <c r="K45" s="16"/>
      <c r="L45" s="16"/>
      <c r="M45" s="17"/>
    </row>
    <row r="46" spans="1:13" ht="18" customHeight="1" x14ac:dyDescent="0.3">
      <c r="A46" s="64" t="s">
        <v>320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</row>
    <row r="47" spans="1:13" ht="30" customHeight="1" x14ac:dyDescent="0.3">
      <c r="A47" s="18">
        <v>7</v>
      </c>
      <c r="B47" s="18" t="s">
        <v>288</v>
      </c>
      <c r="C47" s="19" t="s">
        <v>22</v>
      </c>
      <c r="D47" s="39" t="s">
        <v>83</v>
      </c>
      <c r="E47" s="18" t="s">
        <v>321</v>
      </c>
      <c r="F47" s="18" t="s">
        <v>220</v>
      </c>
      <c r="G47" s="19" t="s">
        <v>22</v>
      </c>
      <c r="H47" s="39" t="s">
        <v>322</v>
      </c>
      <c r="I47" s="18">
        <v>3</v>
      </c>
      <c r="J47" s="18"/>
      <c r="K47" s="18"/>
      <c r="L47" s="18"/>
      <c r="M47" s="19"/>
    </row>
    <row r="48" spans="1:13" ht="30" customHeight="1" x14ac:dyDescent="0.3">
      <c r="A48" s="18">
        <v>7</v>
      </c>
      <c r="B48" s="18" t="s">
        <v>288</v>
      </c>
      <c r="C48" s="19" t="s">
        <v>22</v>
      </c>
      <c r="D48" s="39" t="s">
        <v>83</v>
      </c>
      <c r="E48" s="18" t="s">
        <v>323</v>
      </c>
      <c r="F48" s="18" t="s">
        <v>223</v>
      </c>
      <c r="G48" s="19" t="s">
        <v>324</v>
      </c>
      <c r="H48" s="39" t="s">
        <v>325</v>
      </c>
      <c r="I48" s="18">
        <v>3</v>
      </c>
      <c r="J48" s="18"/>
      <c r="K48" s="18"/>
      <c r="L48" s="18"/>
      <c r="M48" s="19"/>
    </row>
    <row r="49" spans="1:13" ht="30" customHeight="1" x14ac:dyDescent="0.3">
      <c r="A49" s="18">
        <v>7</v>
      </c>
      <c r="B49" s="18" t="s">
        <v>288</v>
      </c>
      <c r="C49" s="19" t="s">
        <v>22</v>
      </c>
      <c r="D49" s="39" t="s">
        <v>83</v>
      </c>
      <c r="E49" s="18" t="s">
        <v>326</v>
      </c>
      <c r="F49" s="18" t="s">
        <v>227</v>
      </c>
      <c r="G49" s="19" t="s">
        <v>327</v>
      </c>
      <c r="H49" s="39" t="s">
        <v>328</v>
      </c>
      <c r="I49" s="18">
        <v>3</v>
      </c>
      <c r="J49" s="18"/>
      <c r="K49" s="18"/>
      <c r="L49" s="18"/>
      <c r="M49" s="19"/>
    </row>
    <row r="50" spans="1:13" ht="30" customHeight="1" x14ac:dyDescent="0.3">
      <c r="A50" s="18">
        <v>7</v>
      </c>
      <c r="B50" s="18" t="s">
        <v>288</v>
      </c>
      <c r="C50" s="19" t="s">
        <v>22</v>
      </c>
      <c r="D50" s="39" t="s">
        <v>83</v>
      </c>
      <c r="E50" s="18" t="s">
        <v>329</v>
      </c>
      <c r="F50" s="18" t="s">
        <v>231</v>
      </c>
      <c r="G50" s="19" t="s">
        <v>330</v>
      </c>
      <c r="H50" s="39" t="s">
        <v>331</v>
      </c>
      <c r="I50" s="18">
        <v>3</v>
      </c>
      <c r="J50" s="18"/>
      <c r="K50" s="18"/>
      <c r="L50" s="18"/>
      <c r="M50" s="19"/>
    </row>
    <row r="51" spans="1:13" ht="30" customHeight="1" x14ac:dyDescent="0.3">
      <c r="A51" s="32">
        <v>7</v>
      </c>
      <c r="B51" s="32" t="s">
        <v>288</v>
      </c>
      <c r="C51" s="33" t="s">
        <v>22</v>
      </c>
      <c r="D51" s="34" t="s">
        <v>83</v>
      </c>
      <c r="E51" s="32" t="s">
        <v>332</v>
      </c>
      <c r="F51" s="32" t="s">
        <v>235</v>
      </c>
      <c r="G51" s="33" t="s">
        <v>236</v>
      </c>
      <c r="H51" s="34" t="s">
        <v>333</v>
      </c>
      <c r="I51" s="32">
        <v>5</v>
      </c>
      <c r="J51" s="32"/>
      <c r="K51" s="32"/>
      <c r="L51" s="32"/>
      <c r="M51" s="33"/>
    </row>
    <row r="52" spans="1:13" ht="30" customHeight="1" x14ac:dyDescent="0.3">
      <c r="A52" s="35">
        <v>7</v>
      </c>
      <c r="B52" s="35" t="s">
        <v>288</v>
      </c>
      <c r="C52" s="36" t="s">
        <v>22</v>
      </c>
      <c r="D52" s="37" t="s">
        <v>83</v>
      </c>
      <c r="E52" s="35" t="s">
        <v>334</v>
      </c>
      <c r="F52" s="35" t="s">
        <v>239</v>
      </c>
      <c r="G52" s="36" t="s">
        <v>240</v>
      </c>
      <c r="H52" s="37" t="s">
        <v>335</v>
      </c>
      <c r="I52" s="35">
        <v>2</v>
      </c>
      <c r="J52" s="35"/>
      <c r="K52" s="35"/>
      <c r="L52" s="35"/>
      <c r="M52" s="36"/>
    </row>
    <row r="53" spans="1:13" ht="30" customHeight="1" x14ac:dyDescent="0.3">
      <c r="A53" s="18">
        <v>7</v>
      </c>
      <c r="B53" s="18" t="s">
        <v>288</v>
      </c>
      <c r="C53" s="19" t="s">
        <v>22</v>
      </c>
      <c r="D53" s="39" t="s">
        <v>83</v>
      </c>
      <c r="E53" s="18" t="s">
        <v>336</v>
      </c>
      <c r="F53" s="18" t="s">
        <v>243</v>
      </c>
      <c r="G53" s="19" t="s">
        <v>22</v>
      </c>
      <c r="H53" s="39" t="s">
        <v>337</v>
      </c>
      <c r="I53" s="18">
        <v>3</v>
      </c>
      <c r="J53" s="18"/>
      <c r="K53" s="18"/>
      <c r="L53" s="18"/>
      <c r="M53" s="19"/>
    </row>
    <row r="54" spans="1:13" ht="30" customHeight="1" x14ac:dyDescent="0.3">
      <c r="A54" s="18">
        <v>8</v>
      </c>
      <c r="B54" s="18" t="s">
        <v>288</v>
      </c>
      <c r="C54" s="19" t="s">
        <v>22</v>
      </c>
      <c r="D54" s="39" t="s">
        <v>88</v>
      </c>
      <c r="E54" s="18" t="s">
        <v>338</v>
      </c>
      <c r="F54" s="18" t="s">
        <v>220</v>
      </c>
      <c r="G54" s="19" t="s">
        <v>22</v>
      </c>
      <c r="H54" s="39" t="s">
        <v>339</v>
      </c>
      <c r="I54" s="18">
        <v>3</v>
      </c>
      <c r="J54" s="18"/>
      <c r="K54" s="18"/>
      <c r="L54" s="18"/>
      <c r="M54" s="19"/>
    </row>
    <row r="55" spans="1:13" ht="30" customHeight="1" x14ac:dyDescent="0.3">
      <c r="A55" s="18">
        <v>8</v>
      </c>
      <c r="B55" s="18" t="s">
        <v>288</v>
      </c>
      <c r="C55" s="19" t="s">
        <v>22</v>
      </c>
      <c r="D55" s="39" t="s">
        <v>88</v>
      </c>
      <c r="E55" s="18" t="s">
        <v>340</v>
      </c>
      <c r="F55" s="18" t="s">
        <v>223</v>
      </c>
      <c r="G55" s="19" t="s">
        <v>324</v>
      </c>
      <c r="H55" s="39" t="s">
        <v>341</v>
      </c>
      <c r="I55" s="18">
        <v>3</v>
      </c>
      <c r="J55" s="18"/>
      <c r="K55" s="18"/>
      <c r="L55" s="18"/>
      <c r="M55" s="19"/>
    </row>
    <row r="56" spans="1:13" ht="30" customHeight="1" x14ac:dyDescent="0.3">
      <c r="A56" s="18">
        <v>8</v>
      </c>
      <c r="B56" s="18" t="s">
        <v>288</v>
      </c>
      <c r="C56" s="19" t="s">
        <v>22</v>
      </c>
      <c r="D56" s="39" t="s">
        <v>88</v>
      </c>
      <c r="E56" s="18" t="s">
        <v>342</v>
      </c>
      <c r="F56" s="18" t="s">
        <v>227</v>
      </c>
      <c r="G56" s="19" t="s">
        <v>327</v>
      </c>
      <c r="H56" s="39" t="s">
        <v>343</v>
      </c>
      <c r="I56" s="18">
        <v>3</v>
      </c>
      <c r="J56" s="18"/>
      <c r="K56" s="18"/>
      <c r="L56" s="18"/>
      <c r="M56" s="19"/>
    </row>
    <row r="57" spans="1:13" ht="30" customHeight="1" x14ac:dyDescent="0.3">
      <c r="A57" s="18">
        <v>8</v>
      </c>
      <c r="B57" s="18" t="s">
        <v>288</v>
      </c>
      <c r="C57" s="19" t="s">
        <v>22</v>
      </c>
      <c r="D57" s="39" t="s">
        <v>88</v>
      </c>
      <c r="E57" s="18" t="s">
        <v>344</v>
      </c>
      <c r="F57" s="18" t="s">
        <v>231</v>
      </c>
      <c r="G57" s="19" t="s">
        <v>330</v>
      </c>
      <c r="H57" s="39" t="s">
        <v>345</v>
      </c>
      <c r="I57" s="18">
        <v>3</v>
      </c>
      <c r="J57" s="18"/>
      <c r="K57" s="18"/>
      <c r="L57" s="18"/>
      <c r="M57" s="19"/>
    </row>
    <row r="58" spans="1:13" ht="30" customHeight="1" x14ac:dyDescent="0.3">
      <c r="A58" s="32">
        <v>8</v>
      </c>
      <c r="B58" s="32" t="s">
        <v>288</v>
      </c>
      <c r="C58" s="33" t="s">
        <v>22</v>
      </c>
      <c r="D58" s="34" t="s">
        <v>88</v>
      </c>
      <c r="E58" s="32" t="s">
        <v>346</v>
      </c>
      <c r="F58" s="32" t="s">
        <v>235</v>
      </c>
      <c r="G58" s="33" t="s">
        <v>236</v>
      </c>
      <c r="H58" s="34" t="s">
        <v>347</v>
      </c>
      <c r="I58" s="32">
        <v>5</v>
      </c>
      <c r="J58" s="32"/>
      <c r="K58" s="32"/>
      <c r="L58" s="32"/>
      <c r="M58" s="33"/>
    </row>
    <row r="59" spans="1:13" ht="30" customHeight="1" x14ac:dyDescent="0.3">
      <c r="A59" s="35">
        <v>8</v>
      </c>
      <c r="B59" s="35" t="s">
        <v>288</v>
      </c>
      <c r="C59" s="36" t="s">
        <v>22</v>
      </c>
      <c r="D59" s="37" t="s">
        <v>88</v>
      </c>
      <c r="E59" s="35" t="s">
        <v>348</v>
      </c>
      <c r="F59" s="35" t="s">
        <v>239</v>
      </c>
      <c r="G59" s="36" t="s">
        <v>240</v>
      </c>
      <c r="H59" s="37" t="s">
        <v>349</v>
      </c>
      <c r="I59" s="35">
        <v>2</v>
      </c>
      <c r="J59" s="35"/>
      <c r="K59" s="35"/>
      <c r="L59" s="35"/>
      <c r="M59" s="36"/>
    </row>
    <row r="60" spans="1:13" ht="30" customHeight="1" x14ac:dyDescent="0.3">
      <c r="A60" s="18">
        <v>8</v>
      </c>
      <c r="B60" s="18" t="s">
        <v>288</v>
      </c>
      <c r="C60" s="19" t="s">
        <v>22</v>
      </c>
      <c r="D60" s="39" t="s">
        <v>88</v>
      </c>
      <c r="E60" s="18" t="s">
        <v>350</v>
      </c>
      <c r="F60" s="18" t="s">
        <v>243</v>
      </c>
      <c r="G60" s="19" t="s">
        <v>22</v>
      </c>
      <c r="H60" s="39" t="s">
        <v>351</v>
      </c>
      <c r="I60" s="18">
        <v>3</v>
      </c>
      <c r="J60" s="18"/>
      <c r="K60" s="18"/>
      <c r="L60" s="18"/>
      <c r="M60" s="19"/>
    </row>
    <row r="61" spans="1:13" ht="30" customHeight="1" x14ac:dyDescent="0.3">
      <c r="A61" s="18">
        <v>9</v>
      </c>
      <c r="B61" s="18" t="s">
        <v>352</v>
      </c>
      <c r="C61" s="19" t="s">
        <v>22</v>
      </c>
      <c r="D61" s="39" t="s">
        <v>93</v>
      </c>
      <c r="E61" s="18" t="s">
        <v>353</v>
      </c>
      <c r="F61" s="18" t="s">
        <v>220</v>
      </c>
      <c r="G61" s="19" t="s">
        <v>22</v>
      </c>
      <c r="H61" s="39" t="s">
        <v>354</v>
      </c>
      <c r="I61" s="18">
        <v>3</v>
      </c>
      <c r="J61" s="18"/>
      <c r="K61" s="18"/>
      <c r="L61" s="18"/>
      <c r="M61" s="19"/>
    </row>
    <row r="62" spans="1:13" ht="30" customHeight="1" x14ac:dyDescent="0.3">
      <c r="A62" s="18">
        <v>9</v>
      </c>
      <c r="B62" s="18" t="s">
        <v>352</v>
      </c>
      <c r="C62" s="19" t="s">
        <v>22</v>
      </c>
      <c r="D62" s="39" t="s">
        <v>93</v>
      </c>
      <c r="E62" s="18" t="s">
        <v>355</v>
      </c>
      <c r="F62" s="18" t="s">
        <v>223</v>
      </c>
      <c r="G62" s="19" t="s">
        <v>324</v>
      </c>
      <c r="H62" s="39" t="s">
        <v>356</v>
      </c>
      <c r="I62" s="18">
        <v>3</v>
      </c>
      <c r="J62" s="18"/>
      <c r="K62" s="18"/>
      <c r="L62" s="18"/>
      <c r="M62" s="19"/>
    </row>
    <row r="63" spans="1:13" ht="30" customHeight="1" x14ac:dyDescent="0.3">
      <c r="A63" s="18">
        <v>9</v>
      </c>
      <c r="B63" s="18" t="s">
        <v>352</v>
      </c>
      <c r="C63" s="19" t="s">
        <v>22</v>
      </c>
      <c r="D63" s="39" t="s">
        <v>93</v>
      </c>
      <c r="E63" s="18" t="s">
        <v>357</v>
      </c>
      <c r="F63" s="18" t="s">
        <v>227</v>
      </c>
      <c r="G63" s="19" t="s">
        <v>327</v>
      </c>
      <c r="H63" s="39" t="s">
        <v>358</v>
      </c>
      <c r="I63" s="18">
        <v>3</v>
      </c>
      <c r="J63" s="18"/>
      <c r="K63" s="18"/>
      <c r="L63" s="18"/>
      <c r="M63" s="19"/>
    </row>
    <row r="64" spans="1:13" ht="30" customHeight="1" x14ac:dyDescent="0.3">
      <c r="A64" s="18">
        <v>9</v>
      </c>
      <c r="B64" s="18" t="s">
        <v>352</v>
      </c>
      <c r="C64" s="19" t="s">
        <v>22</v>
      </c>
      <c r="D64" s="39" t="s">
        <v>93</v>
      </c>
      <c r="E64" s="18" t="s">
        <v>359</v>
      </c>
      <c r="F64" s="18" t="s">
        <v>231</v>
      </c>
      <c r="G64" s="19" t="s">
        <v>330</v>
      </c>
      <c r="H64" s="39" t="s">
        <v>360</v>
      </c>
      <c r="I64" s="18">
        <v>3</v>
      </c>
      <c r="J64" s="18"/>
      <c r="K64" s="18"/>
      <c r="L64" s="18"/>
      <c r="M64" s="19"/>
    </row>
    <row r="65" spans="1:13" ht="30" customHeight="1" x14ac:dyDescent="0.3">
      <c r="A65" s="32">
        <v>9</v>
      </c>
      <c r="B65" s="32" t="s">
        <v>352</v>
      </c>
      <c r="C65" s="33" t="s">
        <v>22</v>
      </c>
      <c r="D65" s="34" t="s">
        <v>93</v>
      </c>
      <c r="E65" s="32" t="s">
        <v>361</v>
      </c>
      <c r="F65" s="32" t="s">
        <v>235</v>
      </c>
      <c r="G65" s="33" t="s">
        <v>236</v>
      </c>
      <c r="H65" s="34" t="s">
        <v>362</v>
      </c>
      <c r="I65" s="32">
        <v>5</v>
      </c>
      <c r="J65" s="32"/>
      <c r="K65" s="32"/>
      <c r="L65" s="32"/>
      <c r="M65" s="33"/>
    </row>
    <row r="66" spans="1:13" ht="30" customHeight="1" x14ac:dyDescent="0.3">
      <c r="A66" s="35">
        <v>9</v>
      </c>
      <c r="B66" s="35" t="s">
        <v>352</v>
      </c>
      <c r="C66" s="36" t="s">
        <v>22</v>
      </c>
      <c r="D66" s="37" t="s">
        <v>93</v>
      </c>
      <c r="E66" s="35" t="s">
        <v>363</v>
      </c>
      <c r="F66" s="35" t="s">
        <v>239</v>
      </c>
      <c r="G66" s="36" t="s">
        <v>240</v>
      </c>
      <c r="H66" s="37" t="s">
        <v>364</v>
      </c>
      <c r="I66" s="35">
        <v>2</v>
      </c>
      <c r="J66" s="35"/>
      <c r="K66" s="35"/>
      <c r="L66" s="35"/>
      <c r="M66" s="36"/>
    </row>
    <row r="67" spans="1:13" ht="30" customHeight="1" x14ac:dyDescent="0.3">
      <c r="A67" s="18">
        <v>9</v>
      </c>
      <c r="B67" s="18" t="s">
        <v>352</v>
      </c>
      <c r="C67" s="19" t="s">
        <v>22</v>
      </c>
      <c r="D67" s="39" t="s">
        <v>93</v>
      </c>
      <c r="E67" s="18" t="s">
        <v>365</v>
      </c>
      <c r="F67" s="18" t="s">
        <v>243</v>
      </c>
      <c r="G67" s="19" t="s">
        <v>22</v>
      </c>
      <c r="H67" s="39" t="s">
        <v>366</v>
      </c>
      <c r="I67" s="18">
        <v>3</v>
      </c>
      <c r="J67" s="18"/>
      <c r="K67" s="18"/>
      <c r="L67" s="18"/>
      <c r="M67" s="19"/>
    </row>
    <row r="68" spans="1:13" ht="30" customHeight="1" x14ac:dyDescent="0.3">
      <c r="A68" s="18">
        <v>10</v>
      </c>
      <c r="B68" s="18" t="s">
        <v>352</v>
      </c>
      <c r="C68" s="19" t="s">
        <v>22</v>
      </c>
      <c r="D68" s="39" t="s">
        <v>98</v>
      </c>
      <c r="E68" s="18" t="s">
        <v>367</v>
      </c>
      <c r="F68" s="18" t="s">
        <v>220</v>
      </c>
      <c r="G68" s="19" t="s">
        <v>22</v>
      </c>
      <c r="H68" s="39" t="s">
        <v>368</v>
      </c>
      <c r="I68" s="18">
        <v>3</v>
      </c>
      <c r="J68" s="18"/>
      <c r="K68" s="18"/>
      <c r="L68" s="18"/>
      <c r="M68" s="19"/>
    </row>
    <row r="69" spans="1:13" ht="30" customHeight="1" x14ac:dyDescent="0.3">
      <c r="A69" s="18">
        <v>10</v>
      </c>
      <c r="B69" s="18" t="s">
        <v>352</v>
      </c>
      <c r="C69" s="19" t="s">
        <v>22</v>
      </c>
      <c r="D69" s="39" t="s">
        <v>98</v>
      </c>
      <c r="E69" s="18" t="s">
        <v>369</v>
      </c>
      <c r="F69" s="18" t="s">
        <v>223</v>
      </c>
      <c r="G69" s="19" t="s">
        <v>324</v>
      </c>
      <c r="H69" s="39" t="s">
        <v>370</v>
      </c>
      <c r="I69" s="18">
        <v>3</v>
      </c>
      <c r="J69" s="18"/>
      <c r="K69" s="18"/>
      <c r="L69" s="18"/>
      <c r="M69" s="19"/>
    </row>
    <row r="70" spans="1:13" ht="30" customHeight="1" x14ac:dyDescent="0.3">
      <c r="A70" s="18">
        <v>10</v>
      </c>
      <c r="B70" s="18" t="s">
        <v>352</v>
      </c>
      <c r="C70" s="19" t="s">
        <v>22</v>
      </c>
      <c r="D70" s="39" t="s">
        <v>98</v>
      </c>
      <c r="E70" s="18" t="s">
        <v>371</v>
      </c>
      <c r="F70" s="18" t="s">
        <v>227</v>
      </c>
      <c r="G70" s="19" t="s">
        <v>327</v>
      </c>
      <c r="H70" s="39" t="s">
        <v>372</v>
      </c>
      <c r="I70" s="18">
        <v>3</v>
      </c>
      <c r="J70" s="18"/>
      <c r="K70" s="18"/>
      <c r="L70" s="18"/>
      <c r="M70" s="19"/>
    </row>
    <row r="71" spans="1:13" ht="30" customHeight="1" x14ac:dyDescent="0.3">
      <c r="A71" s="18">
        <v>10</v>
      </c>
      <c r="B71" s="18" t="s">
        <v>352</v>
      </c>
      <c r="C71" s="19" t="s">
        <v>22</v>
      </c>
      <c r="D71" s="39" t="s">
        <v>98</v>
      </c>
      <c r="E71" s="18" t="s">
        <v>373</v>
      </c>
      <c r="F71" s="18" t="s">
        <v>231</v>
      </c>
      <c r="G71" s="19" t="s">
        <v>330</v>
      </c>
      <c r="H71" s="39" t="s">
        <v>374</v>
      </c>
      <c r="I71" s="18">
        <v>3</v>
      </c>
      <c r="J71" s="18"/>
      <c r="K71" s="18"/>
      <c r="L71" s="18"/>
      <c r="M71" s="19"/>
    </row>
    <row r="72" spans="1:13" ht="30" customHeight="1" x14ac:dyDescent="0.3">
      <c r="A72" s="32">
        <v>10</v>
      </c>
      <c r="B72" s="32" t="s">
        <v>352</v>
      </c>
      <c r="C72" s="33" t="s">
        <v>22</v>
      </c>
      <c r="D72" s="34" t="s">
        <v>98</v>
      </c>
      <c r="E72" s="32" t="s">
        <v>375</v>
      </c>
      <c r="F72" s="32" t="s">
        <v>235</v>
      </c>
      <c r="G72" s="33" t="s">
        <v>236</v>
      </c>
      <c r="H72" s="34" t="s">
        <v>376</v>
      </c>
      <c r="I72" s="32">
        <v>5</v>
      </c>
      <c r="J72" s="32"/>
      <c r="K72" s="32"/>
      <c r="L72" s="32"/>
      <c r="M72" s="33"/>
    </row>
    <row r="73" spans="1:13" ht="30" customHeight="1" x14ac:dyDescent="0.3">
      <c r="A73" s="35">
        <v>10</v>
      </c>
      <c r="B73" s="35" t="s">
        <v>352</v>
      </c>
      <c r="C73" s="36" t="s">
        <v>22</v>
      </c>
      <c r="D73" s="37" t="s">
        <v>98</v>
      </c>
      <c r="E73" s="35" t="s">
        <v>377</v>
      </c>
      <c r="F73" s="35" t="s">
        <v>239</v>
      </c>
      <c r="G73" s="36" t="s">
        <v>240</v>
      </c>
      <c r="H73" s="37" t="s">
        <v>378</v>
      </c>
      <c r="I73" s="35">
        <v>2</v>
      </c>
      <c r="J73" s="35"/>
      <c r="K73" s="35"/>
      <c r="L73" s="35"/>
      <c r="M73" s="36"/>
    </row>
    <row r="74" spans="1:13" ht="30" customHeight="1" x14ac:dyDescent="0.3">
      <c r="A74" s="18">
        <v>10</v>
      </c>
      <c r="B74" s="18" t="s">
        <v>352</v>
      </c>
      <c r="C74" s="19" t="s">
        <v>22</v>
      </c>
      <c r="D74" s="39" t="s">
        <v>98</v>
      </c>
      <c r="E74" s="18" t="s">
        <v>379</v>
      </c>
      <c r="F74" s="18" t="s">
        <v>243</v>
      </c>
      <c r="G74" s="19" t="s">
        <v>22</v>
      </c>
      <c r="H74" s="39" t="s">
        <v>380</v>
      </c>
      <c r="I74" s="18">
        <v>3</v>
      </c>
      <c r="J74" s="18"/>
      <c r="K74" s="18"/>
      <c r="L74" s="18"/>
      <c r="M74" s="19"/>
    </row>
    <row r="75" spans="1:13" ht="30" customHeight="1" x14ac:dyDescent="0.3">
      <c r="A75" s="18">
        <v>11</v>
      </c>
      <c r="B75" s="18" t="s">
        <v>352</v>
      </c>
      <c r="C75" s="19" t="s">
        <v>22</v>
      </c>
      <c r="D75" s="39" t="s">
        <v>103</v>
      </c>
      <c r="E75" s="18" t="s">
        <v>381</v>
      </c>
      <c r="F75" s="18" t="s">
        <v>220</v>
      </c>
      <c r="G75" s="19" t="s">
        <v>22</v>
      </c>
      <c r="H75" s="39" t="s">
        <v>382</v>
      </c>
      <c r="I75" s="18">
        <v>3</v>
      </c>
      <c r="J75" s="18"/>
      <c r="K75" s="18"/>
      <c r="L75" s="18"/>
      <c r="M75" s="19"/>
    </row>
    <row r="76" spans="1:13" ht="30" customHeight="1" x14ac:dyDescent="0.3">
      <c r="A76" s="18">
        <v>11</v>
      </c>
      <c r="B76" s="18" t="s">
        <v>352</v>
      </c>
      <c r="C76" s="19" t="s">
        <v>22</v>
      </c>
      <c r="D76" s="39" t="s">
        <v>103</v>
      </c>
      <c r="E76" s="18" t="s">
        <v>383</v>
      </c>
      <c r="F76" s="18" t="s">
        <v>223</v>
      </c>
      <c r="G76" s="19" t="s">
        <v>324</v>
      </c>
      <c r="H76" s="39" t="s">
        <v>384</v>
      </c>
      <c r="I76" s="18">
        <v>3</v>
      </c>
      <c r="J76" s="18"/>
      <c r="K76" s="18"/>
      <c r="L76" s="18"/>
      <c r="M76" s="19"/>
    </row>
    <row r="77" spans="1:13" ht="30" customHeight="1" x14ac:dyDescent="0.3">
      <c r="A77" s="18">
        <v>11</v>
      </c>
      <c r="B77" s="18" t="s">
        <v>352</v>
      </c>
      <c r="C77" s="19" t="s">
        <v>22</v>
      </c>
      <c r="D77" s="39" t="s">
        <v>103</v>
      </c>
      <c r="E77" s="18" t="s">
        <v>385</v>
      </c>
      <c r="F77" s="18" t="s">
        <v>227</v>
      </c>
      <c r="G77" s="19" t="s">
        <v>327</v>
      </c>
      <c r="H77" s="39" t="s">
        <v>386</v>
      </c>
      <c r="I77" s="18">
        <v>3</v>
      </c>
      <c r="J77" s="18"/>
      <c r="K77" s="18"/>
      <c r="L77" s="18"/>
      <c r="M77" s="19"/>
    </row>
    <row r="78" spans="1:13" ht="30" customHeight="1" x14ac:dyDescent="0.3">
      <c r="A78" s="18">
        <v>11</v>
      </c>
      <c r="B78" s="18" t="s">
        <v>352</v>
      </c>
      <c r="C78" s="19" t="s">
        <v>22</v>
      </c>
      <c r="D78" s="39" t="s">
        <v>103</v>
      </c>
      <c r="E78" s="18" t="s">
        <v>387</v>
      </c>
      <c r="F78" s="18" t="s">
        <v>231</v>
      </c>
      <c r="G78" s="19" t="s">
        <v>330</v>
      </c>
      <c r="H78" s="39" t="s">
        <v>388</v>
      </c>
      <c r="I78" s="18">
        <v>3</v>
      </c>
      <c r="J78" s="18"/>
      <c r="K78" s="18"/>
      <c r="L78" s="18"/>
      <c r="M78" s="19"/>
    </row>
    <row r="79" spans="1:13" ht="30" customHeight="1" x14ac:dyDescent="0.3">
      <c r="A79" s="32">
        <v>11</v>
      </c>
      <c r="B79" s="32" t="s">
        <v>352</v>
      </c>
      <c r="C79" s="33" t="s">
        <v>22</v>
      </c>
      <c r="D79" s="34" t="s">
        <v>103</v>
      </c>
      <c r="E79" s="32" t="s">
        <v>389</v>
      </c>
      <c r="F79" s="32" t="s">
        <v>235</v>
      </c>
      <c r="G79" s="33" t="s">
        <v>236</v>
      </c>
      <c r="H79" s="34" t="s">
        <v>390</v>
      </c>
      <c r="I79" s="32">
        <v>5</v>
      </c>
      <c r="J79" s="32"/>
      <c r="K79" s="32"/>
      <c r="L79" s="32"/>
      <c r="M79" s="33"/>
    </row>
    <row r="80" spans="1:13" ht="30" customHeight="1" x14ac:dyDescent="0.3">
      <c r="A80" s="35">
        <v>11</v>
      </c>
      <c r="B80" s="35" t="s">
        <v>352</v>
      </c>
      <c r="C80" s="36" t="s">
        <v>22</v>
      </c>
      <c r="D80" s="37" t="s">
        <v>103</v>
      </c>
      <c r="E80" s="35" t="s">
        <v>391</v>
      </c>
      <c r="F80" s="35" t="s">
        <v>239</v>
      </c>
      <c r="G80" s="36" t="s">
        <v>240</v>
      </c>
      <c r="H80" s="37" t="s">
        <v>392</v>
      </c>
      <c r="I80" s="35">
        <v>2</v>
      </c>
      <c r="J80" s="35"/>
      <c r="K80" s="35"/>
      <c r="L80" s="35"/>
      <c r="M80" s="36"/>
    </row>
    <row r="81" spans="1:13" ht="30" customHeight="1" x14ac:dyDescent="0.3">
      <c r="A81" s="18">
        <v>11</v>
      </c>
      <c r="B81" s="18" t="s">
        <v>352</v>
      </c>
      <c r="C81" s="19" t="s">
        <v>22</v>
      </c>
      <c r="D81" s="39" t="s">
        <v>103</v>
      </c>
      <c r="E81" s="18" t="s">
        <v>393</v>
      </c>
      <c r="F81" s="18" t="s">
        <v>243</v>
      </c>
      <c r="G81" s="19" t="s">
        <v>22</v>
      </c>
      <c r="H81" s="39" t="s">
        <v>394</v>
      </c>
      <c r="I81" s="18">
        <v>3</v>
      </c>
      <c r="J81" s="18"/>
      <c r="K81" s="18"/>
      <c r="L81" s="18"/>
      <c r="M81" s="19"/>
    </row>
    <row r="82" spans="1:13" ht="30" customHeight="1" x14ac:dyDescent="0.3">
      <c r="A82" s="18">
        <v>12</v>
      </c>
      <c r="B82" s="18" t="s">
        <v>352</v>
      </c>
      <c r="C82" s="19" t="s">
        <v>22</v>
      </c>
      <c r="D82" s="39" t="s">
        <v>108</v>
      </c>
      <c r="E82" s="18" t="s">
        <v>395</v>
      </c>
      <c r="F82" s="18" t="s">
        <v>220</v>
      </c>
      <c r="G82" s="19" t="s">
        <v>22</v>
      </c>
      <c r="H82" s="39" t="s">
        <v>396</v>
      </c>
      <c r="I82" s="18">
        <v>3</v>
      </c>
      <c r="J82" s="18"/>
      <c r="K82" s="18"/>
      <c r="L82" s="18"/>
      <c r="M82" s="19"/>
    </row>
    <row r="83" spans="1:13" ht="30" customHeight="1" x14ac:dyDescent="0.3">
      <c r="A83" s="18">
        <v>12</v>
      </c>
      <c r="B83" s="18" t="s">
        <v>352</v>
      </c>
      <c r="C83" s="19" t="s">
        <v>22</v>
      </c>
      <c r="D83" s="39" t="s">
        <v>108</v>
      </c>
      <c r="E83" s="18" t="s">
        <v>397</v>
      </c>
      <c r="F83" s="18" t="s">
        <v>223</v>
      </c>
      <c r="G83" s="19" t="s">
        <v>324</v>
      </c>
      <c r="H83" s="39" t="s">
        <v>398</v>
      </c>
      <c r="I83" s="18">
        <v>3</v>
      </c>
      <c r="J83" s="18"/>
      <c r="K83" s="18"/>
      <c r="L83" s="18"/>
      <c r="M83" s="19"/>
    </row>
    <row r="84" spans="1:13" ht="30" customHeight="1" x14ac:dyDescent="0.3">
      <c r="A84" s="18">
        <v>12</v>
      </c>
      <c r="B84" s="18" t="s">
        <v>352</v>
      </c>
      <c r="C84" s="19" t="s">
        <v>22</v>
      </c>
      <c r="D84" s="39" t="s">
        <v>108</v>
      </c>
      <c r="E84" s="18" t="s">
        <v>399</v>
      </c>
      <c r="F84" s="18" t="s">
        <v>227</v>
      </c>
      <c r="G84" s="19" t="s">
        <v>327</v>
      </c>
      <c r="H84" s="39" t="s">
        <v>400</v>
      </c>
      <c r="I84" s="18">
        <v>3</v>
      </c>
      <c r="J84" s="18"/>
      <c r="K84" s="18"/>
      <c r="L84" s="18"/>
      <c r="M84" s="19"/>
    </row>
    <row r="85" spans="1:13" ht="30" customHeight="1" x14ac:dyDescent="0.3">
      <c r="A85" s="18">
        <v>12</v>
      </c>
      <c r="B85" s="18" t="s">
        <v>352</v>
      </c>
      <c r="C85" s="19" t="s">
        <v>22</v>
      </c>
      <c r="D85" s="39" t="s">
        <v>108</v>
      </c>
      <c r="E85" s="18" t="s">
        <v>401</v>
      </c>
      <c r="F85" s="18" t="s">
        <v>231</v>
      </c>
      <c r="G85" s="19" t="s">
        <v>330</v>
      </c>
      <c r="H85" s="39" t="s">
        <v>402</v>
      </c>
      <c r="I85" s="18">
        <v>3</v>
      </c>
      <c r="J85" s="18"/>
      <c r="K85" s="18"/>
      <c r="L85" s="18"/>
      <c r="M85" s="19"/>
    </row>
    <row r="86" spans="1:13" ht="30" customHeight="1" x14ac:dyDescent="0.3">
      <c r="A86" s="32">
        <v>12</v>
      </c>
      <c r="B86" s="32" t="s">
        <v>352</v>
      </c>
      <c r="C86" s="33" t="s">
        <v>22</v>
      </c>
      <c r="D86" s="34" t="s">
        <v>108</v>
      </c>
      <c r="E86" s="32" t="s">
        <v>403</v>
      </c>
      <c r="F86" s="32" t="s">
        <v>235</v>
      </c>
      <c r="G86" s="33" t="s">
        <v>236</v>
      </c>
      <c r="H86" s="34" t="s">
        <v>404</v>
      </c>
      <c r="I86" s="32">
        <v>5</v>
      </c>
      <c r="J86" s="32"/>
      <c r="K86" s="32"/>
      <c r="L86" s="32"/>
      <c r="M86" s="33"/>
    </row>
    <row r="87" spans="1:13" ht="30" customHeight="1" x14ac:dyDescent="0.3">
      <c r="A87" s="35">
        <v>12</v>
      </c>
      <c r="B87" s="35" t="s">
        <v>352</v>
      </c>
      <c r="C87" s="36" t="s">
        <v>22</v>
      </c>
      <c r="D87" s="37" t="s">
        <v>108</v>
      </c>
      <c r="E87" s="35" t="s">
        <v>405</v>
      </c>
      <c r="F87" s="35" t="s">
        <v>239</v>
      </c>
      <c r="G87" s="36" t="s">
        <v>240</v>
      </c>
      <c r="H87" s="37" t="s">
        <v>406</v>
      </c>
      <c r="I87" s="35">
        <v>2</v>
      </c>
      <c r="J87" s="35"/>
      <c r="K87" s="35"/>
      <c r="L87" s="35"/>
      <c r="M87" s="36"/>
    </row>
    <row r="88" spans="1:13" ht="30" customHeight="1" x14ac:dyDescent="0.3">
      <c r="A88" s="18">
        <v>12</v>
      </c>
      <c r="B88" s="18" t="s">
        <v>352</v>
      </c>
      <c r="C88" s="19" t="s">
        <v>22</v>
      </c>
      <c r="D88" s="39" t="s">
        <v>108</v>
      </c>
      <c r="E88" s="18" t="s">
        <v>407</v>
      </c>
      <c r="F88" s="18" t="s">
        <v>243</v>
      </c>
      <c r="G88" s="19" t="s">
        <v>22</v>
      </c>
      <c r="H88" s="39" t="s">
        <v>408</v>
      </c>
      <c r="I88" s="18">
        <v>3</v>
      </c>
      <c r="J88" s="18"/>
      <c r="K88" s="18"/>
      <c r="L88" s="18"/>
      <c r="M88" s="19"/>
    </row>
    <row r="89" spans="1:13" ht="18" customHeight="1" x14ac:dyDescent="0.3">
      <c r="A89" s="67" t="s">
        <v>409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</row>
    <row r="90" spans="1:13" ht="30" customHeight="1" x14ac:dyDescent="0.3">
      <c r="A90" s="20">
        <v>13</v>
      </c>
      <c r="B90" s="20" t="s">
        <v>410</v>
      </c>
      <c r="C90" s="21" t="s">
        <v>113</v>
      </c>
      <c r="D90" s="40" t="s">
        <v>114</v>
      </c>
      <c r="E90" s="20" t="s">
        <v>411</v>
      </c>
      <c r="F90" s="20" t="s">
        <v>220</v>
      </c>
      <c r="G90" s="21" t="s">
        <v>113</v>
      </c>
      <c r="H90" s="40" t="s">
        <v>412</v>
      </c>
      <c r="I90" s="20">
        <v>3</v>
      </c>
      <c r="J90" s="20"/>
      <c r="K90" s="20"/>
      <c r="L90" s="20"/>
      <c r="M90" s="21"/>
    </row>
    <row r="91" spans="1:13" ht="30" customHeight="1" x14ac:dyDescent="0.3">
      <c r="A91" s="20">
        <v>13</v>
      </c>
      <c r="B91" s="20" t="s">
        <v>410</v>
      </c>
      <c r="C91" s="21" t="s">
        <v>113</v>
      </c>
      <c r="D91" s="40" t="s">
        <v>114</v>
      </c>
      <c r="E91" s="20" t="s">
        <v>413</v>
      </c>
      <c r="F91" s="20" t="s">
        <v>223</v>
      </c>
      <c r="G91" s="21" t="s">
        <v>414</v>
      </c>
      <c r="H91" s="40" t="s">
        <v>415</v>
      </c>
      <c r="I91" s="20">
        <v>3</v>
      </c>
      <c r="J91" s="20"/>
      <c r="K91" s="20"/>
      <c r="L91" s="20"/>
      <c r="M91" s="21"/>
    </row>
    <row r="92" spans="1:13" ht="30" customHeight="1" x14ac:dyDescent="0.3">
      <c r="A92" s="20">
        <v>13</v>
      </c>
      <c r="B92" s="20" t="s">
        <v>410</v>
      </c>
      <c r="C92" s="21" t="s">
        <v>113</v>
      </c>
      <c r="D92" s="40" t="s">
        <v>114</v>
      </c>
      <c r="E92" s="20" t="s">
        <v>416</v>
      </c>
      <c r="F92" s="20" t="s">
        <v>227</v>
      </c>
      <c r="G92" s="21" t="s">
        <v>417</v>
      </c>
      <c r="H92" s="40" t="s">
        <v>418</v>
      </c>
      <c r="I92" s="20">
        <v>3</v>
      </c>
      <c r="J92" s="20"/>
      <c r="K92" s="20"/>
      <c r="L92" s="20"/>
      <c r="M92" s="21"/>
    </row>
    <row r="93" spans="1:13" ht="30" customHeight="1" x14ac:dyDescent="0.3">
      <c r="A93" s="20">
        <v>13</v>
      </c>
      <c r="B93" s="20" t="s">
        <v>410</v>
      </c>
      <c r="C93" s="21" t="s">
        <v>113</v>
      </c>
      <c r="D93" s="40" t="s">
        <v>114</v>
      </c>
      <c r="E93" s="20" t="s">
        <v>419</v>
      </c>
      <c r="F93" s="20" t="s">
        <v>231</v>
      </c>
      <c r="G93" s="21" t="s">
        <v>420</v>
      </c>
      <c r="H93" s="40" t="s">
        <v>421</v>
      </c>
      <c r="I93" s="20">
        <v>3</v>
      </c>
      <c r="J93" s="20"/>
      <c r="K93" s="20"/>
      <c r="L93" s="20"/>
      <c r="M93" s="21"/>
    </row>
    <row r="94" spans="1:13" ht="30" customHeight="1" x14ac:dyDescent="0.3">
      <c r="A94" s="32">
        <v>13</v>
      </c>
      <c r="B94" s="32" t="s">
        <v>410</v>
      </c>
      <c r="C94" s="33" t="s">
        <v>113</v>
      </c>
      <c r="D94" s="34" t="s">
        <v>114</v>
      </c>
      <c r="E94" s="32" t="s">
        <v>422</v>
      </c>
      <c r="F94" s="32" t="s">
        <v>235</v>
      </c>
      <c r="G94" s="33" t="s">
        <v>236</v>
      </c>
      <c r="H94" s="34" t="s">
        <v>423</v>
      </c>
      <c r="I94" s="32">
        <v>5</v>
      </c>
      <c r="J94" s="32"/>
      <c r="K94" s="32"/>
      <c r="L94" s="32"/>
      <c r="M94" s="33"/>
    </row>
    <row r="95" spans="1:13" ht="30" customHeight="1" x14ac:dyDescent="0.3">
      <c r="A95" s="35">
        <v>13</v>
      </c>
      <c r="B95" s="35" t="s">
        <v>410</v>
      </c>
      <c r="C95" s="36" t="s">
        <v>113</v>
      </c>
      <c r="D95" s="37" t="s">
        <v>114</v>
      </c>
      <c r="E95" s="35" t="s">
        <v>424</v>
      </c>
      <c r="F95" s="35" t="s">
        <v>239</v>
      </c>
      <c r="G95" s="36" t="s">
        <v>240</v>
      </c>
      <c r="H95" s="37" t="s">
        <v>425</v>
      </c>
      <c r="I95" s="35">
        <v>2</v>
      </c>
      <c r="J95" s="35"/>
      <c r="K95" s="35"/>
      <c r="L95" s="35"/>
      <c r="M95" s="36"/>
    </row>
    <row r="96" spans="1:13" ht="30" customHeight="1" x14ac:dyDescent="0.3">
      <c r="A96" s="20">
        <v>13</v>
      </c>
      <c r="B96" s="20" t="s">
        <v>410</v>
      </c>
      <c r="C96" s="21" t="s">
        <v>113</v>
      </c>
      <c r="D96" s="40" t="s">
        <v>114</v>
      </c>
      <c r="E96" s="20" t="s">
        <v>426</v>
      </c>
      <c r="F96" s="20" t="s">
        <v>243</v>
      </c>
      <c r="G96" s="21" t="s">
        <v>113</v>
      </c>
      <c r="H96" s="40" t="s">
        <v>427</v>
      </c>
      <c r="I96" s="20">
        <v>3</v>
      </c>
      <c r="J96" s="20"/>
      <c r="K96" s="20"/>
      <c r="L96" s="20"/>
      <c r="M96" s="21"/>
    </row>
    <row r="97" spans="1:13" ht="30" customHeight="1" x14ac:dyDescent="0.3">
      <c r="A97" s="20">
        <v>14</v>
      </c>
      <c r="B97" s="20" t="s">
        <v>410</v>
      </c>
      <c r="C97" s="21" t="s">
        <v>113</v>
      </c>
      <c r="D97" s="40" t="s">
        <v>119</v>
      </c>
      <c r="E97" s="20" t="s">
        <v>428</v>
      </c>
      <c r="F97" s="20" t="s">
        <v>220</v>
      </c>
      <c r="G97" s="21" t="s">
        <v>113</v>
      </c>
      <c r="H97" s="40" t="s">
        <v>429</v>
      </c>
      <c r="I97" s="20">
        <v>3</v>
      </c>
      <c r="J97" s="20"/>
      <c r="K97" s="20"/>
      <c r="L97" s="20"/>
      <c r="M97" s="21"/>
    </row>
    <row r="98" spans="1:13" ht="30" customHeight="1" x14ac:dyDescent="0.3">
      <c r="A98" s="20">
        <v>14</v>
      </c>
      <c r="B98" s="20" t="s">
        <v>410</v>
      </c>
      <c r="C98" s="21" t="s">
        <v>113</v>
      </c>
      <c r="D98" s="40" t="s">
        <v>119</v>
      </c>
      <c r="E98" s="20" t="s">
        <v>430</v>
      </c>
      <c r="F98" s="20" t="s">
        <v>223</v>
      </c>
      <c r="G98" s="21" t="s">
        <v>414</v>
      </c>
      <c r="H98" s="40" t="s">
        <v>431</v>
      </c>
      <c r="I98" s="20">
        <v>3</v>
      </c>
      <c r="J98" s="20"/>
      <c r="K98" s="20"/>
      <c r="L98" s="20"/>
      <c r="M98" s="21"/>
    </row>
    <row r="99" spans="1:13" ht="30" customHeight="1" x14ac:dyDescent="0.3">
      <c r="A99" s="20">
        <v>14</v>
      </c>
      <c r="B99" s="20" t="s">
        <v>410</v>
      </c>
      <c r="C99" s="21" t="s">
        <v>113</v>
      </c>
      <c r="D99" s="40" t="s">
        <v>119</v>
      </c>
      <c r="E99" s="20" t="s">
        <v>432</v>
      </c>
      <c r="F99" s="20" t="s">
        <v>227</v>
      </c>
      <c r="G99" s="21" t="s">
        <v>417</v>
      </c>
      <c r="H99" s="40" t="s">
        <v>433</v>
      </c>
      <c r="I99" s="20">
        <v>3</v>
      </c>
      <c r="J99" s="20"/>
      <c r="K99" s="20"/>
      <c r="L99" s="20"/>
      <c r="M99" s="21"/>
    </row>
    <row r="100" spans="1:13" ht="30" customHeight="1" x14ac:dyDescent="0.3">
      <c r="A100" s="20">
        <v>14</v>
      </c>
      <c r="B100" s="20" t="s">
        <v>410</v>
      </c>
      <c r="C100" s="21" t="s">
        <v>113</v>
      </c>
      <c r="D100" s="40" t="s">
        <v>119</v>
      </c>
      <c r="E100" s="20" t="s">
        <v>434</v>
      </c>
      <c r="F100" s="20" t="s">
        <v>231</v>
      </c>
      <c r="G100" s="21" t="s">
        <v>420</v>
      </c>
      <c r="H100" s="40" t="s">
        <v>435</v>
      </c>
      <c r="I100" s="20">
        <v>3</v>
      </c>
      <c r="J100" s="20"/>
      <c r="K100" s="20"/>
      <c r="L100" s="20"/>
      <c r="M100" s="21"/>
    </row>
    <row r="101" spans="1:13" ht="30" customHeight="1" x14ac:dyDescent="0.3">
      <c r="A101" s="32">
        <v>14</v>
      </c>
      <c r="B101" s="32" t="s">
        <v>410</v>
      </c>
      <c r="C101" s="33" t="s">
        <v>113</v>
      </c>
      <c r="D101" s="34" t="s">
        <v>119</v>
      </c>
      <c r="E101" s="32" t="s">
        <v>436</v>
      </c>
      <c r="F101" s="32" t="s">
        <v>235</v>
      </c>
      <c r="G101" s="33" t="s">
        <v>236</v>
      </c>
      <c r="H101" s="34" t="s">
        <v>437</v>
      </c>
      <c r="I101" s="32">
        <v>5</v>
      </c>
      <c r="J101" s="32"/>
      <c r="K101" s="32"/>
      <c r="L101" s="32"/>
      <c r="M101" s="33"/>
    </row>
    <row r="102" spans="1:13" ht="30" customHeight="1" x14ac:dyDescent="0.3">
      <c r="A102" s="35">
        <v>14</v>
      </c>
      <c r="B102" s="35" t="s">
        <v>410</v>
      </c>
      <c r="C102" s="36" t="s">
        <v>113</v>
      </c>
      <c r="D102" s="37" t="s">
        <v>119</v>
      </c>
      <c r="E102" s="35" t="s">
        <v>438</v>
      </c>
      <c r="F102" s="35" t="s">
        <v>239</v>
      </c>
      <c r="G102" s="36" t="s">
        <v>240</v>
      </c>
      <c r="H102" s="37" t="s">
        <v>439</v>
      </c>
      <c r="I102" s="35">
        <v>2</v>
      </c>
      <c r="J102" s="35"/>
      <c r="K102" s="35"/>
      <c r="L102" s="35"/>
      <c r="M102" s="36"/>
    </row>
    <row r="103" spans="1:13" ht="30" customHeight="1" x14ac:dyDescent="0.3">
      <c r="A103" s="20">
        <v>14</v>
      </c>
      <c r="B103" s="20" t="s">
        <v>410</v>
      </c>
      <c r="C103" s="21" t="s">
        <v>113</v>
      </c>
      <c r="D103" s="40" t="s">
        <v>119</v>
      </c>
      <c r="E103" s="20" t="s">
        <v>440</v>
      </c>
      <c r="F103" s="20" t="s">
        <v>243</v>
      </c>
      <c r="G103" s="21" t="s">
        <v>113</v>
      </c>
      <c r="H103" s="40" t="s">
        <v>441</v>
      </c>
      <c r="I103" s="20">
        <v>3</v>
      </c>
      <c r="J103" s="20"/>
      <c r="K103" s="20"/>
      <c r="L103" s="20"/>
      <c r="M103" s="21"/>
    </row>
    <row r="104" spans="1:13" ht="30" customHeight="1" x14ac:dyDescent="0.3">
      <c r="A104" s="20">
        <v>15</v>
      </c>
      <c r="B104" s="20" t="s">
        <v>410</v>
      </c>
      <c r="C104" s="21" t="s">
        <v>113</v>
      </c>
      <c r="D104" s="40" t="s">
        <v>124</v>
      </c>
      <c r="E104" s="20" t="s">
        <v>442</v>
      </c>
      <c r="F104" s="20" t="s">
        <v>220</v>
      </c>
      <c r="G104" s="21" t="s">
        <v>113</v>
      </c>
      <c r="H104" s="40" t="s">
        <v>443</v>
      </c>
      <c r="I104" s="20">
        <v>3</v>
      </c>
      <c r="J104" s="20"/>
      <c r="K104" s="20"/>
      <c r="L104" s="20"/>
      <c r="M104" s="21"/>
    </row>
    <row r="105" spans="1:13" ht="30" customHeight="1" x14ac:dyDescent="0.3">
      <c r="A105" s="20">
        <v>15</v>
      </c>
      <c r="B105" s="20" t="s">
        <v>410</v>
      </c>
      <c r="C105" s="21" t="s">
        <v>113</v>
      </c>
      <c r="D105" s="40" t="s">
        <v>124</v>
      </c>
      <c r="E105" s="20" t="s">
        <v>444</v>
      </c>
      <c r="F105" s="20" t="s">
        <v>223</v>
      </c>
      <c r="G105" s="21" t="s">
        <v>414</v>
      </c>
      <c r="H105" s="40" t="s">
        <v>445</v>
      </c>
      <c r="I105" s="20">
        <v>3</v>
      </c>
      <c r="J105" s="20"/>
      <c r="K105" s="20"/>
      <c r="L105" s="20"/>
      <c r="M105" s="21"/>
    </row>
    <row r="106" spans="1:13" ht="30" customHeight="1" x14ac:dyDescent="0.3">
      <c r="A106" s="20">
        <v>15</v>
      </c>
      <c r="B106" s="20" t="s">
        <v>410</v>
      </c>
      <c r="C106" s="21" t="s">
        <v>113</v>
      </c>
      <c r="D106" s="40" t="s">
        <v>124</v>
      </c>
      <c r="E106" s="20" t="s">
        <v>446</v>
      </c>
      <c r="F106" s="20" t="s">
        <v>227</v>
      </c>
      <c r="G106" s="21" t="s">
        <v>417</v>
      </c>
      <c r="H106" s="40" t="s">
        <v>447</v>
      </c>
      <c r="I106" s="20">
        <v>3</v>
      </c>
      <c r="J106" s="20"/>
      <c r="K106" s="20"/>
      <c r="L106" s="20"/>
      <c r="M106" s="21"/>
    </row>
    <row r="107" spans="1:13" ht="30" customHeight="1" x14ac:dyDescent="0.3">
      <c r="A107" s="20">
        <v>15</v>
      </c>
      <c r="B107" s="20" t="s">
        <v>410</v>
      </c>
      <c r="C107" s="21" t="s">
        <v>113</v>
      </c>
      <c r="D107" s="40" t="s">
        <v>124</v>
      </c>
      <c r="E107" s="20" t="s">
        <v>448</v>
      </c>
      <c r="F107" s="20" t="s">
        <v>231</v>
      </c>
      <c r="G107" s="21" t="s">
        <v>420</v>
      </c>
      <c r="H107" s="40" t="s">
        <v>449</v>
      </c>
      <c r="I107" s="20">
        <v>3</v>
      </c>
      <c r="J107" s="20"/>
      <c r="K107" s="20"/>
      <c r="L107" s="20"/>
      <c r="M107" s="21"/>
    </row>
    <row r="108" spans="1:13" ht="30" customHeight="1" x14ac:dyDescent="0.3">
      <c r="A108" s="32">
        <v>15</v>
      </c>
      <c r="B108" s="32" t="s">
        <v>410</v>
      </c>
      <c r="C108" s="33" t="s">
        <v>113</v>
      </c>
      <c r="D108" s="34" t="s">
        <v>124</v>
      </c>
      <c r="E108" s="32" t="s">
        <v>450</v>
      </c>
      <c r="F108" s="32" t="s">
        <v>235</v>
      </c>
      <c r="G108" s="33" t="s">
        <v>236</v>
      </c>
      <c r="H108" s="34" t="s">
        <v>451</v>
      </c>
      <c r="I108" s="32">
        <v>5</v>
      </c>
      <c r="J108" s="32"/>
      <c r="K108" s="32"/>
      <c r="L108" s="32"/>
      <c r="M108" s="33"/>
    </row>
    <row r="109" spans="1:13" ht="30" customHeight="1" x14ac:dyDescent="0.3">
      <c r="A109" s="35">
        <v>15</v>
      </c>
      <c r="B109" s="35" t="s">
        <v>410</v>
      </c>
      <c r="C109" s="36" t="s">
        <v>113</v>
      </c>
      <c r="D109" s="37" t="s">
        <v>124</v>
      </c>
      <c r="E109" s="35" t="s">
        <v>452</v>
      </c>
      <c r="F109" s="35" t="s">
        <v>239</v>
      </c>
      <c r="G109" s="36" t="s">
        <v>240</v>
      </c>
      <c r="H109" s="37" t="s">
        <v>453</v>
      </c>
      <c r="I109" s="35">
        <v>2</v>
      </c>
      <c r="J109" s="35"/>
      <c r="K109" s="35"/>
      <c r="L109" s="35"/>
      <c r="M109" s="36"/>
    </row>
    <row r="110" spans="1:13" ht="30" customHeight="1" x14ac:dyDescent="0.3">
      <c r="A110" s="20">
        <v>15</v>
      </c>
      <c r="B110" s="20" t="s">
        <v>410</v>
      </c>
      <c r="C110" s="21" t="s">
        <v>113</v>
      </c>
      <c r="D110" s="40" t="s">
        <v>124</v>
      </c>
      <c r="E110" s="20" t="s">
        <v>454</v>
      </c>
      <c r="F110" s="20" t="s">
        <v>243</v>
      </c>
      <c r="G110" s="21" t="s">
        <v>113</v>
      </c>
      <c r="H110" s="40" t="s">
        <v>455</v>
      </c>
      <c r="I110" s="20">
        <v>3</v>
      </c>
      <c r="J110" s="20"/>
      <c r="K110" s="20"/>
      <c r="L110" s="20"/>
      <c r="M110" s="21"/>
    </row>
    <row r="111" spans="1:13" ht="30" customHeight="1" x14ac:dyDescent="0.3">
      <c r="A111" s="20">
        <v>16</v>
      </c>
      <c r="B111" s="20" t="s">
        <v>410</v>
      </c>
      <c r="C111" s="21" t="s">
        <v>113</v>
      </c>
      <c r="D111" s="40" t="s">
        <v>129</v>
      </c>
      <c r="E111" s="20" t="s">
        <v>456</v>
      </c>
      <c r="F111" s="20" t="s">
        <v>220</v>
      </c>
      <c r="G111" s="21" t="s">
        <v>113</v>
      </c>
      <c r="H111" s="40" t="s">
        <v>457</v>
      </c>
      <c r="I111" s="20">
        <v>3</v>
      </c>
      <c r="J111" s="20"/>
      <c r="K111" s="20"/>
      <c r="L111" s="20"/>
      <c r="M111" s="21"/>
    </row>
    <row r="112" spans="1:13" ht="30" customHeight="1" x14ac:dyDescent="0.3">
      <c r="A112" s="20">
        <v>16</v>
      </c>
      <c r="B112" s="20" t="s">
        <v>410</v>
      </c>
      <c r="C112" s="21" t="s">
        <v>113</v>
      </c>
      <c r="D112" s="40" t="s">
        <v>129</v>
      </c>
      <c r="E112" s="20" t="s">
        <v>458</v>
      </c>
      <c r="F112" s="20" t="s">
        <v>223</v>
      </c>
      <c r="G112" s="21" t="s">
        <v>414</v>
      </c>
      <c r="H112" s="40" t="s">
        <v>459</v>
      </c>
      <c r="I112" s="20">
        <v>3</v>
      </c>
      <c r="J112" s="20"/>
      <c r="K112" s="20"/>
      <c r="L112" s="20"/>
      <c r="M112" s="21"/>
    </row>
    <row r="113" spans="1:13" ht="30" customHeight="1" x14ac:dyDescent="0.3">
      <c r="A113" s="20">
        <v>16</v>
      </c>
      <c r="B113" s="20" t="s">
        <v>410</v>
      </c>
      <c r="C113" s="21" t="s">
        <v>113</v>
      </c>
      <c r="D113" s="40" t="s">
        <v>129</v>
      </c>
      <c r="E113" s="20" t="s">
        <v>460</v>
      </c>
      <c r="F113" s="20" t="s">
        <v>227</v>
      </c>
      <c r="G113" s="21" t="s">
        <v>417</v>
      </c>
      <c r="H113" s="40" t="s">
        <v>461</v>
      </c>
      <c r="I113" s="20">
        <v>3</v>
      </c>
      <c r="J113" s="20"/>
      <c r="K113" s="20"/>
      <c r="L113" s="20"/>
      <c r="M113" s="21"/>
    </row>
    <row r="114" spans="1:13" ht="30" customHeight="1" x14ac:dyDescent="0.3">
      <c r="A114" s="20">
        <v>16</v>
      </c>
      <c r="B114" s="20" t="s">
        <v>410</v>
      </c>
      <c r="C114" s="21" t="s">
        <v>113</v>
      </c>
      <c r="D114" s="40" t="s">
        <v>129</v>
      </c>
      <c r="E114" s="20" t="s">
        <v>462</v>
      </c>
      <c r="F114" s="20" t="s">
        <v>231</v>
      </c>
      <c r="G114" s="21" t="s">
        <v>420</v>
      </c>
      <c r="H114" s="40" t="s">
        <v>463</v>
      </c>
      <c r="I114" s="20">
        <v>3</v>
      </c>
      <c r="J114" s="20"/>
      <c r="K114" s="20"/>
      <c r="L114" s="20"/>
      <c r="M114" s="21"/>
    </row>
    <row r="115" spans="1:13" ht="30" customHeight="1" x14ac:dyDescent="0.3">
      <c r="A115" s="32">
        <v>16</v>
      </c>
      <c r="B115" s="32" t="s">
        <v>410</v>
      </c>
      <c r="C115" s="33" t="s">
        <v>113</v>
      </c>
      <c r="D115" s="34" t="s">
        <v>129</v>
      </c>
      <c r="E115" s="32" t="s">
        <v>464</v>
      </c>
      <c r="F115" s="32" t="s">
        <v>235</v>
      </c>
      <c r="G115" s="33" t="s">
        <v>236</v>
      </c>
      <c r="H115" s="34" t="s">
        <v>465</v>
      </c>
      <c r="I115" s="32">
        <v>5</v>
      </c>
      <c r="J115" s="32"/>
      <c r="K115" s="32"/>
      <c r="L115" s="32"/>
      <c r="M115" s="33"/>
    </row>
    <row r="116" spans="1:13" ht="30" customHeight="1" x14ac:dyDescent="0.3">
      <c r="A116" s="35">
        <v>16</v>
      </c>
      <c r="B116" s="35" t="s">
        <v>410</v>
      </c>
      <c r="C116" s="36" t="s">
        <v>113</v>
      </c>
      <c r="D116" s="37" t="s">
        <v>129</v>
      </c>
      <c r="E116" s="35" t="s">
        <v>466</v>
      </c>
      <c r="F116" s="35" t="s">
        <v>239</v>
      </c>
      <c r="G116" s="36" t="s">
        <v>240</v>
      </c>
      <c r="H116" s="37" t="s">
        <v>467</v>
      </c>
      <c r="I116" s="35">
        <v>2</v>
      </c>
      <c r="J116" s="35"/>
      <c r="K116" s="35"/>
      <c r="L116" s="35"/>
      <c r="M116" s="36"/>
    </row>
    <row r="117" spans="1:13" ht="30" customHeight="1" x14ac:dyDescent="0.3">
      <c r="A117" s="20">
        <v>16</v>
      </c>
      <c r="B117" s="20" t="s">
        <v>410</v>
      </c>
      <c r="C117" s="21" t="s">
        <v>113</v>
      </c>
      <c r="D117" s="40" t="s">
        <v>129</v>
      </c>
      <c r="E117" s="20" t="s">
        <v>468</v>
      </c>
      <c r="F117" s="20" t="s">
        <v>243</v>
      </c>
      <c r="G117" s="21" t="s">
        <v>113</v>
      </c>
      <c r="H117" s="40" t="s">
        <v>469</v>
      </c>
      <c r="I117" s="20">
        <v>3</v>
      </c>
      <c r="J117" s="20"/>
      <c r="K117" s="20"/>
      <c r="L117" s="20"/>
      <c r="M117" s="21"/>
    </row>
    <row r="118" spans="1:13" ht="18" customHeight="1" x14ac:dyDescent="0.3">
      <c r="A118" s="65" t="s">
        <v>470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</row>
    <row r="119" spans="1:13" ht="30" customHeight="1" x14ac:dyDescent="0.3">
      <c r="A119" s="22">
        <v>17</v>
      </c>
      <c r="B119" s="22" t="s">
        <v>471</v>
      </c>
      <c r="C119" s="23" t="s">
        <v>134</v>
      </c>
      <c r="D119" s="41" t="s">
        <v>135</v>
      </c>
      <c r="E119" s="22" t="s">
        <v>472</v>
      </c>
      <c r="F119" s="22" t="s">
        <v>220</v>
      </c>
      <c r="G119" s="23" t="s">
        <v>134</v>
      </c>
      <c r="H119" s="41" t="s">
        <v>473</v>
      </c>
      <c r="I119" s="22">
        <v>3</v>
      </c>
      <c r="J119" s="22"/>
      <c r="K119" s="22"/>
      <c r="L119" s="22"/>
      <c r="M119" s="23"/>
    </row>
    <row r="120" spans="1:13" ht="30" customHeight="1" x14ac:dyDescent="0.3">
      <c r="A120" s="22">
        <v>17</v>
      </c>
      <c r="B120" s="22" t="s">
        <v>471</v>
      </c>
      <c r="C120" s="23" t="s">
        <v>134</v>
      </c>
      <c r="D120" s="41" t="s">
        <v>135</v>
      </c>
      <c r="E120" s="22" t="s">
        <v>474</v>
      </c>
      <c r="F120" s="22" t="s">
        <v>223</v>
      </c>
      <c r="G120" s="23" t="s">
        <v>475</v>
      </c>
      <c r="H120" s="41" t="s">
        <v>476</v>
      </c>
      <c r="I120" s="22">
        <v>3</v>
      </c>
      <c r="J120" s="22"/>
      <c r="K120" s="22"/>
      <c r="L120" s="22"/>
      <c r="M120" s="23"/>
    </row>
    <row r="121" spans="1:13" ht="30" customHeight="1" x14ac:dyDescent="0.3">
      <c r="A121" s="22">
        <v>17</v>
      </c>
      <c r="B121" s="22" t="s">
        <v>471</v>
      </c>
      <c r="C121" s="23" t="s">
        <v>134</v>
      </c>
      <c r="D121" s="41" t="s">
        <v>135</v>
      </c>
      <c r="E121" s="22" t="s">
        <v>477</v>
      </c>
      <c r="F121" s="22" t="s">
        <v>227</v>
      </c>
      <c r="G121" s="23" t="s">
        <v>478</v>
      </c>
      <c r="H121" s="41" t="s">
        <v>479</v>
      </c>
      <c r="I121" s="22">
        <v>3</v>
      </c>
      <c r="J121" s="22"/>
      <c r="K121" s="22"/>
      <c r="L121" s="22"/>
      <c r="M121" s="23"/>
    </row>
    <row r="122" spans="1:13" ht="30" customHeight="1" x14ac:dyDescent="0.3">
      <c r="A122" s="22">
        <v>17</v>
      </c>
      <c r="B122" s="22" t="s">
        <v>471</v>
      </c>
      <c r="C122" s="23" t="s">
        <v>134</v>
      </c>
      <c r="D122" s="41" t="s">
        <v>135</v>
      </c>
      <c r="E122" s="22" t="s">
        <v>480</v>
      </c>
      <c r="F122" s="22" t="s">
        <v>231</v>
      </c>
      <c r="G122" s="23" t="s">
        <v>481</v>
      </c>
      <c r="H122" s="41" t="s">
        <v>482</v>
      </c>
      <c r="I122" s="22">
        <v>3</v>
      </c>
      <c r="J122" s="22"/>
      <c r="K122" s="22"/>
      <c r="L122" s="22"/>
      <c r="M122" s="23"/>
    </row>
    <row r="123" spans="1:13" ht="30" customHeight="1" x14ac:dyDescent="0.3">
      <c r="A123" s="32">
        <v>17</v>
      </c>
      <c r="B123" s="32" t="s">
        <v>471</v>
      </c>
      <c r="C123" s="33" t="s">
        <v>134</v>
      </c>
      <c r="D123" s="34" t="s">
        <v>135</v>
      </c>
      <c r="E123" s="32" t="s">
        <v>483</v>
      </c>
      <c r="F123" s="32" t="s">
        <v>235</v>
      </c>
      <c r="G123" s="33" t="s">
        <v>236</v>
      </c>
      <c r="H123" s="34" t="s">
        <v>484</v>
      </c>
      <c r="I123" s="32">
        <v>5</v>
      </c>
      <c r="J123" s="32"/>
      <c r="K123" s="32"/>
      <c r="L123" s="32"/>
      <c r="M123" s="33"/>
    </row>
    <row r="124" spans="1:13" ht="30" customHeight="1" x14ac:dyDescent="0.3">
      <c r="A124" s="35">
        <v>17</v>
      </c>
      <c r="B124" s="35" t="s">
        <v>471</v>
      </c>
      <c r="C124" s="36" t="s">
        <v>134</v>
      </c>
      <c r="D124" s="37" t="s">
        <v>135</v>
      </c>
      <c r="E124" s="35" t="s">
        <v>485</v>
      </c>
      <c r="F124" s="35" t="s">
        <v>239</v>
      </c>
      <c r="G124" s="36" t="s">
        <v>240</v>
      </c>
      <c r="H124" s="37" t="s">
        <v>486</v>
      </c>
      <c r="I124" s="35">
        <v>2</v>
      </c>
      <c r="J124" s="35"/>
      <c r="K124" s="35"/>
      <c r="L124" s="35"/>
      <c r="M124" s="36"/>
    </row>
    <row r="125" spans="1:13" ht="30" customHeight="1" x14ac:dyDescent="0.3">
      <c r="A125" s="22">
        <v>17</v>
      </c>
      <c r="B125" s="22" t="s">
        <v>471</v>
      </c>
      <c r="C125" s="23" t="s">
        <v>134</v>
      </c>
      <c r="D125" s="41" t="s">
        <v>135</v>
      </c>
      <c r="E125" s="22" t="s">
        <v>487</v>
      </c>
      <c r="F125" s="22" t="s">
        <v>243</v>
      </c>
      <c r="G125" s="23" t="s">
        <v>134</v>
      </c>
      <c r="H125" s="41" t="s">
        <v>488</v>
      </c>
      <c r="I125" s="22">
        <v>3</v>
      </c>
      <c r="J125" s="22"/>
      <c r="K125" s="22"/>
      <c r="L125" s="22"/>
      <c r="M125" s="23"/>
    </row>
    <row r="126" spans="1:13" ht="30" customHeight="1" x14ac:dyDescent="0.3">
      <c r="A126" s="22">
        <v>18</v>
      </c>
      <c r="B126" s="22" t="s">
        <v>471</v>
      </c>
      <c r="C126" s="23" t="s">
        <v>134</v>
      </c>
      <c r="D126" s="41" t="s">
        <v>140</v>
      </c>
      <c r="E126" s="22" t="s">
        <v>489</v>
      </c>
      <c r="F126" s="22" t="s">
        <v>220</v>
      </c>
      <c r="G126" s="23" t="s">
        <v>134</v>
      </c>
      <c r="H126" s="41" t="s">
        <v>490</v>
      </c>
      <c r="I126" s="22">
        <v>3</v>
      </c>
      <c r="J126" s="22"/>
      <c r="K126" s="22"/>
      <c r="L126" s="22"/>
      <c r="M126" s="23"/>
    </row>
    <row r="127" spans="1:13" ht="30" customHeight="1" x14ac:dyDescent="0.3">
      <c r="A127" s="22">
        <v>18</v>
      </c>
      <c r="B127" s="22" t="s">
        <v>471</v>
      </c>
      <c r="C127" s="23" t="s">
        <v>134</v>
      </c>
      <c r="D127" s="41" t="s">
        <v>140</v>
      </c>
      <c r="E127" s="22" t="s">
        <v>491</v>
      </c>
      <c r="F127" s="22" t="s">
        <v>223</v>
      </c>
      <c r="G127" s="23" t="s">
        <v>475</v>
      </c>
      <c r="H127" s="41" t="s">
        <v>492</v>
      </c>
      <c r="I127" s="22">
        <v>3</v>
      </c>
      <c r="J127" s="22"/>
      <c r="K127" s="22"/>
      <c r="L127" s="22"/>
      <c r="M127" s="23"/>
    </row>
    <row r="128" spans="1:13" ht="30" customHeight="1" x14ac:dyDescent="0.3">
      <c r="A128" s="22">
        <v>18</v>
      </c>
      <c r="B128" s="22" t="s">
        <v>471</v>
      </c>
      <c r="C128" s="23" t="s">
        <v>134</v>
      </c>
      <c r="D128" s="41" t="s">
        <v>140</v>
      </c>
      <c r="E128" s="22" t="s">
        <v>493</v>
      </c>
      <c r="F128" s="22" t="s">
        <v>227</v>
      </c>
      <c r="G128" s="23" t="s">
        <v>478</v>
      </c>
      <c r="H128" s="41" t="s">
        <v>494</v>
      </c>
      <c r="I128" s="22">
        <v>3</v>
      </c>
      <c r="J128" s="22"/>
      <c r="K128" s="22"/>
      <c r="L128" s="22"/>
      <c r="M128" s="23"/>
    </row>
    <row r="129" spans="1:13" ht="30" customHeight="1" x14ac:dyDescent="0.3">
      <c r="A129" s="22">
        <v>18</v>
      </c>
      <c r="B129" s="22" t="s">
        <v>471</v>
      </c>
      <c r="C129" s="23" t="s">
        <v>134</v>
      </c>
      <c r="D129" s="41" t="s">
        <v>140</v>
      </c>
      <c r="E129" s="22" t="s">
        <v>495</v>
      </c>
      <c r="F129" s="22" t="s">
        <v>231</v>
      </c>
      <c r="G129" s="23" t="s">
        <v>481</v>
      </c>
      <c r="H129" s="41" t="s">
        <v>496</v>
      </c>
      <c r="I129" s="22">
        <v>3</v>
      </c>
      <c r="J129" s="22"/>
      <c r="K129" s="22"/>
      <c r="L129" s="22"/>
      <c r="M129" s="23"/>
    </row>
    <row r="130" spans="1:13" ht="30" customHeight="1" x14ac:dyDescent="0.3">
      <c r="A130" s="32">
        <v>18</v>
      </c>
      <c r="B130" s="32" t="s">
        <v>471</v>
      </c>
      <c r="C130" s="33" t="s">
        <v>134</v>
      </c>
      <c r="D130" s="34" t="s">
        <v>140</v>
      </c>
      <c r="E130" s="32" t="s">
        <v>497</v>
      </c>
      <c r="F130" s="32" t="s">
        <v>235</v>
      </c>
      <c r="G130" s="33" t="s">
        <v>236</v>
      </c>
      <c r="H130" s="34" t="s">
        <v>498</v>
      </c>
      <c r="I130" s="32">
        <v>5</v>
      </c>
      <c r="J130" s="32"/>
      <c r="K130" s="32"/>
      <c r="L130" s="32"/>
      <c r="M130" s="33"/>
    </row>
    <row r="131" spans="1:13" ht="30" customHeight="1" x14ac:dyDescent="0.3">
      <c r="A131" s="35">
        <v>18</v>
      </c>
      <c r="B131" s="35" t="s">
        <v>471</v>
      </c>
      <c r="C131" s="36" t="s">
        <v>134</v>
      </c>
      <c r="D131" s="37" t="s">
        <v>140</v>
      </c>
      <c r="E131" s="35" t="s">
        <v>499</v>
      </c>
      <c r="F131" s="35" t="s">
        <v>239</v>
      </c>
      <c r="G131" s="36" t="s">
        <v>240</v>
      </c>
      <c r="H131" s="37" t="s">
        <v>500</v>
      </c>
      <c r="I131" s="35">
        <v>2</v>
      </c>
      <c r="J131" s="35"/>
      <c r="K131" s="35"/>
      <c r="L131" s="35"/>
      <c r="M131" s="36"/>
    </row>
    <row r="132" spans="1:13" ht="30" customHeight="1" x14ac:dyDescent="0.3">
      <c r="A132" s="22">
        <v>18</v>
      </c>
      <c r="B132" s="22" t="s">
        <v>471</v>
      </c>
      <c r="C132" s="23" t="s">
        <v>134</v>
      </c>
      <c r="D132" s="41" t="s">
        <v>140</v>
      </c>
      <c r="E132" s="22" t="s">
        <v>501</v>
      </c>
      <c r="F132" s="22" t="s">
        <v>243</v>
      </c>
      <c r="G132" s="23" t="s">
        <v>134</v>
      </c>
      <c r="H132" s="41" t="s">
        <v>502</v>
      </c>
      <c r="I132" s="22">
        <v>3</v>
      </c>
      <c r="J132" s="22"/>
      <c r="K132" s="22"/>
      <c r="L132" s="22"/>
      <c r="M132" s="23"/>
    </row>
    <row r="133" spans="1:13" ht="30" customHeight="1" x14ac:dyDescent="0.3">
      <c r="A133" s="22">
        <v>19</v>
      </c>
      <c r="B133" s="22" t="s">
        <v>471</v>
      </c>
      <c r="C133" s="23" t="s">
        <v>134</v>
      </c>
      <c r="D133" s="41" t="s">
        <v>145</v>
      </c>
      <c r="E133" s="22" t="s">
        <v>503</v>
      </c>
      <c r="F133" s="22" t="s">
        <v>220</v>
      </c>
      <c r="G133" s="23" t="s">
        <v>134</v>
      </c>
      <c r="H133" s="41" t="s">
        <v>504</v>
      </c>
      <c r="I133" s="22">
        <v>3</v>
      </c>
      <c r="J133" s="22"/>
      <c r="K133" s="22"/>
      <c r="L133" s="22"/>
      <c r="M133" s="23"/>
    </row>
    <row r="134" spans="1:13" ht="30" customHeight="1" x14ac:dyDescent="0.3">
      <c r="A134" s="22">
        <v>19</v>
      </c>
      <c r="B134" s="22" t="s">
        <v>471</v>
      </c>
      <c r="C134" s="23" t="s">
        <v>134</v>
      </c>
      <c r="D134" s="41" t="s">
        <v>145</v>
      </c>
      <c r="E134" s="22" t="s">
        <v>505</v>
      </c>
      <c r="F134" s="22" t="s">
        <v>223</v>
      </c>
      <c r="G134" s="23" t="s">
        <v>475</v>
      </c>
      <c r="H134" s="41" t="s">
        <v>506</v>
      </c>
      <c r="I134" s="22">
        <v>3</v>
      </c>
      <c r="J134" s="22"/>
      <c r="K134" s="22"/>
      <c r="L134" s="22"/>
      <c r="M134" s="23"/>
    </row>
    <row r="135" spans="1:13" ht="30" customHeight="1" x14ac:dyDescent="0.3">
      <c r="A135" s="22">
        <v>19</v>
      </c>
      <c r="B135" s="22" t="s">
        <v>471</v>
      </c>
      <c r="C135" s="23" t="s">
        <v>134</v>
      </c>
      <c r="D135" s="41" t="s">
        <v>145</v>
      </c>
      <c r="E135" s="22" t="s">
        <v>507</v>
      </c>
      <c r="F135" s="22" t="s">
        <v>227</v>
      </c>
      <c r="G135" s="23" t="s">
        <v>478</v>
      </c>
      <c r="H135" s="41" t="s">
        <v>508</v>
      </c>
      <c r="I135" s="22">
        <v>3</v>
      </c>
      <c r="J135" s="22"/>
      <c r="K135" s="22"/>
      <c r="L135" s="22"/>
      <c r="M135" s="23"/>
    </row>
    <row r="136" spans="1:13" ht="30" customHeight="1" x14ac:dyDescent="0.3">
      <c r="A136" s="22">
        <v>19</v>
      </c>
      <c r="B136" s="22" t="s">
        <v>471</v>
      </c>
      <c r="C136" s="23" t="s">
        <v>134</v>
      </c>
      <c r="D136" s="41" t="s">
        <v>145</v>
      </c>
      <c r="E136" s="22" t="s">
        <v>509</v>
      </c>
      <c r="F136" s="22" t="s">
        <v>231</v>
      </c>
      <c r="G136" s="23" t="s">
        <v>481</v>
      </c>
      <c r="H136" s="41" t="s">
        <v>510</v>
      </c>
      <c r="I136" s="22">
        <v>3</v>
      </c>
      <c r="J136" s="22"/>
      <c r="K136" s="22"/>
      <c r="L136" s="22"/>
      <c r="M136" s="23"/>
    </row>
    <row r="137" spans="1:13" ht="30" customHeight="1" x14ac:dyDescent="0.3">
      <c r="A137" s="32">
        <v>19</v>
      </c>
      <c r="B137" s="32" t="s">
        <v>471</v>
      </c>
      <c r="C137" s="33" t="s">
        <v>134</v>
      </c>
      <c r="D137" s="34" t="s">
        <v>145</v>
      </c>
      <c r="E137" s="32" t="s">
        <v>511</v>
      </c>
      <c r="F137" s="32" t="s">
        <v>235</v>
      </c>
      <c r="G137" s="33" t="s">
        <v>236</v>
      </c>
      <c r="H137" s="34" t="s">
        <v>512</v>
      </c>
      <c r="I137" s="32">
        <v>5</v>
      </c>
      <c r="J137" s="32"/>
      <c r="K137" s="32"/>
      <c r="L137" s="32"/>
      <c r="M137" s="33"/>
    </row>
    <row r="138" spans="1:13" ht="30" customHeight="1" x14ac:dyDescent="0.3">
      <c r="A138" s="35">
        <v>19</v>
      </c>
      <c r="B138" s="35" t="s">
        <v>471</v>
      </c>
      <c r="C138" s="36" t="s">
        <v>134</v>
      </c>
      <c r="D138" s="37" t="s">
        <v>145</v>
      </c>
      <c r="E138" s="35" t="s">
        <v>513</v>
      </c>
      <c r="F138" s="35" t="s">
        <v>239</v>
      </c>
      <c r="G138" s="36" t="s">
        <v>240</v>
      </c>
      <c r="H138" s="37" t="s">
        <v>514</v>
      </c>
      <c r="I138" s="35">
        <v>2</v>
      </c>
      <c r="J138" s="35"/>
      <c r="K138" s="35"/>
      <c r="L138" s="35"/>
      <c r="M138" s="36"/>
    </row>
    <row r="139" spans="1:13" ht="30" customHeight="1" x14ac:dyDescent="0.3">
      <c r="A139" s="22">
        <v>19</v>
      </c>
      <c r="B139" s="22" t="s">
        <v>471</v>
      </c>
      <c r="C139" s="23" t="s">
        <v>134</v>
      </c>
      <c r="D139" s="41" t="s">
        <v>145</v>
      </c>
      <c r="E139" s="22" t="s">
        <v>515</v>
      </c>
      <c r="F139" s="22" t="s">
        <v>243</v>
      </c>
      <c r="G139" s="23" t="s">
        <v>134</v>
      </c>
      <c r="H139" s="41" t="s">
        <v>516</v>
      </c>
      <c r="I139" s="22">
        <v>3</v>
      </c>
      <c r="J139" s="22"/>
      <c r="K139" s="22"/>
      <c r="L139" s="22"/>
      <c r="M139" s="23"/>
    </row>
    <row r="140" spans="1:13" ht="30" customHeight="1" x14ac:dyDescent="0.3">
      <c r="A140" s="22">
        <v>20</v>
      </c>
      <c r="B140" s="22" t="s">
        <v>471</v>
      </c>
      <c r="C140" s="23" t="s">
        <v>134</v>
      </c>
      <c r="D140" s="41" t="s">
        <v>150</v>
      </c>
      <c r="E140" s="22" t="s">
        <v>517</v>
      </c>
      <c r="F140" s="22" t="s">
        <v>220</v>
      </c>
      <c r="G140" s="23" t="s">
        <v>134</v>
      </c>
      <c r="H140" s="41" t="s">
        <v>518</v>
      </c>
      <c r="I140" s="22">
        <v>3</v>
      </c>
      <c r="J140" s="22"/>
      <c r="K140" s="22"/>
      <c r="L140" s="22"/>
      <c r="M140" s="23"/>
    </row>
    <row r="141" spans="1:13" ht="30" customHeight="1" x14ac:dyDescent="0.3">
      <c r="A141" s="22">
        <v>20</v>
      </c>
      <c r="B141" s="22" t="s">
        <v>471</v>
      </c>
      <c r="C141" s="23" t="s">
        <v>134</v>
      </c>
      <c r="D141" s="41" t="s">
        <v>150</v>
      </c>
      <c r="E141" s="22" t="s">
        <v>519</v>
      </c>
      <c r="F141" s="22" t="s">
        <v>223</v>
      </c>
      <c r="G141" s="23" t="s">
        <v>475</v>
      </c>
      <c r="H141" s="41" t="s">
        <v>520</v>
      </c>
      <c r="I141" s="22">
        <v>3</v>
      </c>
      <c r="J141" s="22"/>
      <c r="K141" s="22"/>
      <c r="L141" s="22"/>
      <c r="M141" s="23"/>
    </row>
    <row r="142" spans="1:13" ht="30" customHeight="1" x14ac:dyDescent="0.3">
      <c r="A142" s="22">
        <v>20</v>
      </c>
      <c r="B142" s="22" t="s">
        <v>471</v>
      </c>
      <c r="C142" s="23" t="s">
        <v>134</v>
      </c>
      <c r="D142" s="41" t="s">
        <v>150</v>
      </c>
      <c r="E142" s="22" t="s">
        <v>521</v>
      </c>
      <c r="F142" s="22" t="s">
        <v>227</v>
      </c>
      <c r="G142" s="23" t="s">
        <v>478</v>
      </c>
      <c r="H142" s="41" t="s">
        <v>522</v>
      </c>
      <c r="I142" s="22">
        <v>3</v>
      </c>
      <c r="J142" s="22"/>
      <c r="K142" s="22"/>
      <c r="L142" s="22"/>
      <c r="M142" s="23"/>
    </row>
    <row r="143" spans="1:13" ht="30" customHeight="1" x14ac:dyDescent="0.3">
      <c r="A143" s="22">
        <v>20</v>
      </c>
      <c r="B143" s="22" t="s">
        <v>471</v>
      </c>
      <c r="C143" s="23" t="s">
        <v>134</v>
      </c>
      <c r="D143" s="41" t="s">
        <v>150</v>
      </c>
      <c r="E143" s="22" t="s">
        <v>523</v>
      </c>
      <c r="F143" s="22" t="s">
        <v>231</v>
      </c>
      <c r="G143" s="23" t="s">
        <v>481</v>
      </c>
      <c r="H143" s="41" t="s">
        <v>524</v>
      </c>
      <c r="I143" s="22">
        <v>3</v>
      </c>
      <c r="J143" s="22"/>
      <c r="K143" s="22"/>
      <c r="L143" s="22"/>
      <c r="M143" s="23"/>
    </row>
    <row r="144" spans="1:13" ht="30" customHeight="1" x14ac:dyDescent="0.3">
      <c r="A144" s="32">
        <v>20</v>
      </c>
      <c r="B144" s="32" t="s">
        <v>471</v>
      </c>
      <c r="C144" s="33" t="s">
        <v>134</v>
      </c>
      <c r="D144" s="34" t="s">
        <v>150</v>
      </c>
      <c r="E144" s="32" t="s">
        <v>525</v>
      </c>
      <c r="F144" s="32" t="s">
        <v>235</v>
      </c>
      <c r="G144" s="33" t="s">
        <v>236</v>
      </c>
      <c r="H144" s="34" t="s">
        <v>526</v>
      </c>
      <c r="I144" s="32">
        <v>5</v>
      </c>
      <c r="J144" s="32"/>
      <c r="K144" s="32"/>
      <c r="L144" s="32"/>
      <c r="M144" s="33"/>
    </row>
    <row r="145" spans="1:13" ht="30" customHeight="1" x14ac:dyDescent="0.3">
      <c r="A145" s="35">
        <v>20</v>
      </c>
      <c r="B145" s="35" t="s">
        <v>471</v>
      </c>
      <c r="C145" s="36" t="s">
        <v>134</v>
      </c>
      <c r="D145" s="37" t="s">
        <v>150</v>
      </c>
      <c r="E145" s="35" t="s">
        <v>527</v>
      </c>
      <c r="F145" s="35" t="s">
        <v>239</v>
      </c>
      <c r="G145" s="36" t="s">
        <v>240</v>
      </c>
      <c r="H145" s="37" t="s">
        <v>528</v>
      </c>
      <c r="I145" s="35">
        <v>2</v>
      </c>
      <c r="J145" s="35"/>
      <c r="K145" s="35"/>
      <c r="L145" s="35"/>
      <c r="M145" s="36"/>
    </row>
    <row r="146" spans="1:13" ht="30" customHeight="1" x14ac:dyDescent="0.3">
      <c r="A146" s="22">
        <v>20</v>
      </c>
      <c r="B146" s="22" t="s">
        <v>471</v>
      </c>
      <c r="C146" s="23" t="s">
        <v>134</v>
      </c>
      <c r="D146" s="41" t="s">
        <v>150</v>
      </c>
      <c r="E146" s="22" t="s">
        <v>529</v>
      </c>
      <c r="F146" s="22" t="s">
        <v>243</v>
      </c>
      <c r="G146" s="23" t="s">
        <v>134</v>
      </c>
      <c r="H146" s="41" t="s">
        <v>530</v>
      </c>
      <c r="I146" s="22">
        <v>3</v>
      </c>
      <c r="J146" s="22"/>
      <c r="K146" s="22"/>
      <c r="L146" s="22"/>
      <c r="M146" s="23"/>
    </row>
    <row r="147" spans="1:13" ht="30" customHeight="1" x14ac:dyDescent="0.3">
      <c r="A147" s="22">
        <v>21</v>
      </c>
      <c r="B147" s="22" t="s">
        <v>531</v>
      </c>
      <c r="C147" s="23" t="s">
        <v>134</v>
      </c>
      <c r="D147" s="41" t="s">
        <v>155</v>
      </c>
      <c r="E147" s="22" t="s">
        <v>532</v>
      </c>
      <c r="F147" s="22" t="s">
        <v>220</v>
      </c>
      <c r="G147" s="23" t="s">
        <v>134</v>
      </c>
      <c r="H147" s="41" t="s">
        <v>533</v>
      </c>
      <c r="I147" s="22">
        <v>3</v>
      </c>
      <c r="J147" s="22"/>
      <c r="K147" s="22"/>
      <c r="L147" s="22"/>
      <c r="M147" s="23"/>
    </row>
    <row r="148" spans="1:13" ht="30" customHeight="1" x14ac:dyDescent="0.3">
      <c r="A148" s="22">
        <v>21</v>
      </c>
      <c r="B148" s="22" t="s">
        <v>531</v>
      </c>
      <c r="C148" s="23" t="s">
        <v>134</v>
      </c>
      <c r="D148" s="41" t="s">
        <v>155</v>
      </c>
      <c r="E148" s="22" t="s">
        <v>534</v>
      </c>
      <c r="F148" s="22" t="s">
        <v>223</v>
      </c>
      <c r="G148" s="23" t="s">
        <v>475</v>
      </c>
      <c r="H148" s="41" t="s">
        <v>535</v>
      </c>
      <c r="I148" s="22">
        <v>3</v>
      </c>
      <c r="J148" s="22"/>
      <c r="K148" s="22"/>
      <c r="L148" s="22"/>
      <c r="M148" s="23"/>
    </row>
    <row r="149" spans="1:13" ht="30" customHeight="1" x14ac:dyDescent="0.3">
      <c r="A149" s="22">
        <v>21</v>
      </c>
      <c r="B149" s="22" t="s">
        <v>531</v>
      </c>
      <c r="C149" s="23" t="s">
        <v>134</v>
      </c>
      <c r="D149" s="41" t="s">
        <v>155</v>
      </c>
      <c r="E149" s="22" t="s">
        <v>536</v>
      </c>
      <c r="F149" s="22" t="s">
        <v>227</v>
      </c>
      <c r="G149" s="23" t="s">
        <v>478</v>
      </c>
      <c r="H149" s="41" t="s">
        <v>537</v>
      </c>
      <c r="I149" s="22">
        <v>3</v>
      </c>
      <c r="J149" s="22"/>
      <c r="K149" s="22"/>
      <c r="L149" s="22"/>
      <c r="M149" s="23"/>
    </row>
    <row r="150" spans="1:13" ht="30" customHeight="1" x14ac:dyDescent="0.3">
      <c r="A150" s="22">
        <v>21</v>
      </c>
      <c r="B150" s="22" t="s">
        <v>531</v>
      </c>
      <c r="C150" s="23" t="s">
        <v>134</v>
      </c>
      <c r="D150" s="41" t="s">
        <v>155</v>
      </c>
      <c r="E150" s="22" t="s">
        <v>538</v>
      </c>
      <c r="F150" s="22" t="s">
        <v>231</v>
      </c>
      <c r="G150" s="23" t="s">
        <v>481</v>
      </c>
      <c r="H150" s="41" t="s">
        <v>539</v>
      </c>
      <c r="I150" s="22">
        <v>3</v>
      </c>
      <c r="J150" s="22"/>
      <c r="K150" s="22"/>
      <c r="L150" s="22"/>
      <c r="M150" s="23"/>
    </row>
    <row r="151" spans="1:13" ht="30" customHeight="1" x14ac:dyDescent="0.3">
      <c r="A151" s="32">
        <v>21</v>
      </c>
      <c r="B151" s="32" t="s">
        <v>531</v>
      </c>
      <c r="C151" s="33" t="s">
        <v>134</v>
      </c>
      <c r="D151" s="34" t="s">
        <v>155</v>
      </c>
      <c r="E151" s="32" t="s">
        <v>540</v>
      </c>
      <c r="F151" s="32" t="s">
        <v>235</v>
      </c>
      <c r="G151" s="33" t="s">
        <v>236</v>
      </c>
      <c r="H151" s="34" t="s">
        <v>541</v>
      </c>
      <c r="I151" s="32">
        <v>5</v>
      </c>
      <c r="J151" s="32"/>
      <c r="K151" s="32"/>
      <c r="L151" s="32"/>
      <c r="M151" s="33"/>
    </row>
    <row r="152" spans="1:13" ht="30" customHeight="1" x14ac:dyDescent="0.3">
      <c r="A152" s="35">
        <v>21</v>
      </c>
      <c r="B152" s="35" t="s">
        <v>531</v>
      </c>
      <c r="C152" s="36" t="s">
        <v>134</v>
      </c>
      <c r="D152" s="37" t="s">
        <v>155</v>
      </c>
      <c r="E152" s="35" t="s">
        <v>542</v>
      </c>
      <c r="F152" s="35" t="s">
        <v>239</v>
      </c>
      <c r="G152" s="36" t="s">
        <v>240</v>
      </c>
      <c r="H152" s="37" t="s">
        <v>543</v>
      </c>
      <c r="I152" s="35">
        <v>2</v>
      </c>
      <c r="J152" s="35"/>
      <c r="K152" s="35"/>
      <c r="L152" s="35"/>
      <c r="M152" s="36"/>
    </row>
    <row r="153" spans="1:13" ht="30" customHeight="1" x14ac:dyDescent="0.3">
      <c r="A153" s="22">
        <v>21</v>
      </c>
      <c r="B153" s="22" t="s">
        <v>531</v>
      </c>
      <c r="C153" s="23" t="s">
        <v>134</v>
      </c>
      <c r="D153" s="41" t="s">
        <v>155</v>
      </c>
      <c r="E153" s="22" t="s">
        <v>544</v>
      </c>
      <c r="F153" s="22" t="s">
        <v>243</v>
      </c>
      <c r="G153" s="23" t="s">
        <v>134</v>
      </c>
      <c r="H153" s="41" t="s">
        <v>545</v>
      </c>
      <c r="I153" s="22">
        <v>3</v>
      </c>
      <c r="J153" s="22"/>
      <c r="K153" s="22"/>
      <c r="L153" s="22"/>
      <c r="M153" s="23"/>
    </row>
    <row r="154" spans="1:13" ht="18" customHeight="1" x14ac:dyDescent="0.3">
      <c r="A154" s="69" t="s">
        <v>546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</row>
    <row r="155" spans="1:13" ht="30" customHeight="1" x14ac:dyDescent="0.3">
      <c r="A155" s="24">
        <v>22</v>
      </c>
      <c r="B155" s="24" t="s">
        <v>531</v>
      </c>
      <c r="C155" s="25" t="s">
        <v>34</v>
      </c>
      <c r="D155" s="42" t="s">
        <v>160</v>
      </c>
      <c r="E155" s="24" t="s">
        <v>547</v>
      </c>
      <c r="F155" s="24" t="s">
        <v>220</v>
      </c>
      <c r="G155" s="25" t="s">
        <v>34</v>
      </c>
      <c r="H155" s="42" t="s">
        <v>548</v>
      </c>
      <c r="I155" s="24">
        <v>3</v>
      </c>
      <c r="J155" s="24"/>
      <c r="K155" s="24"/>
      <c r="L155" s="24"/>
      <c r="M155" s="25"/>
    </row>
    <row r="156" spans="1:13" ht="30" customHeight="1" x14ac:dyDescent="0.3">
      <c r="A156" s="24">
        <v>22</v>
      </c>
      <c r="B156" s="24" t="s">
        <v>531</v>
      </c>
      <c r="C156" s="25" t="s">
        <v>34</v>
      </c>
      <c r="D156" s="42" t="s">
        <v>160</v>
      </c>
      <c r="E156" s="24" t="s">
        <v>549</v>
      </c>
      <c r="F156" s="24" t="s">
        <v>223</v>
      </c>
      <c r="G156" s="25" t="s">
        <v>550</v>
      </c>
      <c r="H156" s="42" t="s">
        <v>551</v>
      </c>
      <c r="I156" s="24">
        <v>3</v>
      </c>
      <c r="J156" s="24"/>
      <c r="K156" s="24"/>
      <c r="L156" s="24"/>
      <c r="M156" s="25"/>
    </row>
    <row r="157" spans="1:13" ht="30" customHeight="1" x14ac:dyDescent="0.3">
      <c r="A157" s="24">
        <v>22</v>
      </c>
      <c r="B157" s="24" t="s">
        <v>531</v>
      </c>
      <c r="C157" s="25" t="s">
        <v>34</v>
      </c>
      <c r="D157" s="42" t="s">
        <v>160</v>
      </c>
      <c r="E157" s="24" t="s">
        <v>552</v>
      </c>
      <c r="F157" s="24" t="s">
        <v>227</v>
      </c>
      <c r="G157" s="25" t="s">
        <v>553</v>
      </c>
      <c r="H157" s="42" t="s">
        <v>554</v>
      </c>
      <c r="I157" s="24">
        <v>3</v>
      </c>
      <c r="J157" s="24"/>
      <c r="K157" s="24"/>
      <c r="L157" s="24"/>
      <c r="M157" s="25"/>
    </row>
    <row r="158" spans="1:13" ht="30" customHeight="1" x14ac:dyDescent="0.3">
      <c r="A158" s="24">
        <v>22</v>
      </c>
      <c r="B158" s="24" t="s">
        <v>531</v>
      </c>
      <c r="C158" s="25" t="s">
        <v>34</v>
      </c>
      <c r="D158" s="42" t="s">
        <v>160</v>
      </c>
      <c r="E158" s="24" t="s">
        <v>555</v>
      </c>
      <c r="F158" s="24" t="s">
        <v>231</v>
      </c>
      <c r="G158" s="25" t="s">
        <v>556</v>
      </c>
      <c r="H158" s="42" t="s">
        <v>557</v>
      </c>
      <c r="I158" s="24">
        <v>3</v>
      </c>
      <c r="J158" s="24"/>
      <c r="K158" s="24"/>
      <c r="L158" s="24"/>
      <c r="M158" s="25"/>
    </row>
    <row r="159" spans="1:13" ht="30" customHeight="1" x14ac:dyDescent="0.3">
      <c r="A159" s="32">
        <v>22</v>
      </c>
      <c r="B159" s="32" t="s">
        <v>531</v>
      </c>
      <c r="C159" s="33" t="s">
        <v>34</v>
      </c>
      <c r="D159" s="34" t="s">
        <v>160</v>
      </c>
      <c r="E159" s="32" t="s">
        <v>558</v>
      </c>
      <c r="F159" s="32" t="s">
        <v>235</v>
      </c>
      <c r="G159" s="33" t="s">
        <v>236</v>
      </c>
      <c r="H159" s="34" t="s">
        <v>559</v>
      </c>
      <c r="I159" s="32">
        <v>5</v>
      </c>
      <c r="J159" s="32"/>
      <c r="K159" s="32"/>
      <c r="L159" s="32"/>
      <c r="M159" s="33"/>
    </row>
    <row r="160" spans="1:13" ht="30" customHeight="1" x14ac:dyDescent="0.3">
      <c r="A160" s="35">
        <v>22</v>
      </c>
      <c r="B160" s="35" t="s">
        <v>531</v>
      </c>
      <c r="C160" s="36" t="s">
        <v>34</v>
      </c>
      <c r="D160" s="37" t="s">
        <v>160</v>
      </c>
      <c r="E160" s="35" t="s">
        <v>560</v>
      </c>
      <c r="F160" s="35" t="s">
        <v>239</v>
      </c>
      <c r="G160" s="36" t="s">
        <v>240</v>
      </c>
      <c r="H160" s="37" t="s">
        <v>561</v>
      </c>
      <c r="I160" s="35">
        <v>2</v>
      </c>
      <c r="J160" s="35"/>
      <c r="K160" s="35"/>
      <c r="L160" s="35"/>
      <c r="M160" s="36"/>
    </row>
    <row r="161" spans="1:13" ht="30" customHeight="1" x14ac:dyDescent="0.3">
      <c r="A161" s="24">
        <v>22</v>
      </c>
      <c r="B161" s="24" t="s">
        <v>531</v>
      </c>
      <c r="C161" s="25" t="s">
        <v>34</v>
      </c>
      <c r="D161" s="42" t="s">
        <v>160</v>
      </c>
      <c r="E161" s="24" t="s">
        <v>562</v>
      </c>
      <c r="F161" s="24" t="s">
        <v>243</v>
      </c>
      <c r="G161" s="25" t="s">
        <v>34</v>
      </c>
      <c r="H161" s="42" t="s">
        <v>563</v>
      </c>
      <c r="I161" s="24">
        <v>3</v>
      </c>
      <c r="J161" s="24"/>
      <c r="K161" s="24"/>
      <c r="L161" s="24"/>
      <c r="M161" s="25"/>
    </row>
    <row r="162" spans="1:13" ht="30" customHeight="1" x14ac:dyDescent="0.3">
      <c r="A162" s="24">
        <v>23</v>
      </c>
      <c r="B162" s="24" t="s">
        <v>531</v>
      </c>
      <c r="C162" s="25" t="s">
        <v>34</v>
      </c>
      <c r="D162" s="42" t="s">
        <v>165</v>
      </c>
      <c r="E162" s="24" t="s">
        <v>564</v>
      </c>
      <c r="F162" s="24" t="s">
        <v>220</v>
      </c>
      <c r="G162" s="25" t="s">
        <v>34</v>
      </c>
      <c r="H162" s="42" t="s">
        <v>565</v>
      </c>
      <c r="I162" s="24">
        <v>3</v>
      </c>
      <c r="J162" s="24"/>
      <c r="K162" s="24"/>
      <c r="L162" s="24"/>
      <c r="M162" s="25"/>
    </row>
    <row r="163" spans="1:13" ht="30" customHeight="1" x14ac:dyDescent="0.3">
      <c r="A163" s="24">
        <v>23</v>
      </c>
      <c r="B163" s="24" t="s">
        <v>531</v>
      </c>
      <c r="C163" s="25" t="s">
        <v>34</v>
      </c>
      <c r="D163" s="42" t="s">
        <v>165</v>
      </c>
      <c r="E163" s="24" t="s">
        <v>566</v>
      </c>
      <c r="F163" s="24" t="s">
        <v>223</v>
      </c>
      <c r="G163" s="25" t="s">
        <v>550</v>
      </c>
      <c r="H163" s="42" t="s">
        <v>567</v>
      </c>
      <c r="I163" s="24">
        <v>3</v>
      </c>
      <c r="J163" s="24"/>
      <c r="K163" s="24"/>
      <c r="L163" s="24"/>
      <c r="M163" s="25"/>
    </row>
    <row r="164" spans="1:13" ht="30" customHeight="1" x14ac:dyDescent="0.3">
      <c r="A164" s="24">
        <v>23</v>
      </c>
      <c r="B164" s="24" t="s">
        <v>531</v>
      </c>
      <c r="C164" s="25" t="s">
        <v>34</v>
      </c>
      <c r="D164" s="42" t="s">
        <v>165</v>
      </c>
      <c r="E164" s="24" t="s">
        <v>568</v>
      </c>
      <c r="F164" s="24" t="s">
        <v>227</v>
      </c>
      <c r="G164" s="25" t="s">
        <v>553</v>
      </c>
      <c r="H164" s="42" t="s">
        <v>569</v>
      </c>
      <c r="I164" s="24">
        <v>3</v>
      </c>
      <c r="J164" s="24"/>
      <c r="K164" s="24"/>
      <c r="L164" s="24"/>
      <c r="M164" s="25"/>
    </row>
    <row r="165" spans="1:13" ht="30" customHeight="1" x14ac:dyDescent="0.3">
      <c r="A165" s="24">
        <v>23</v>
      </c>
      <c r="B165" s="24" t="s">
        <v>531</v>
      </c>
      <c r="C165" s="25" t="s">
        <v>34</v>
      </c>
      <c r="D165" s="42" t="s">
        <v>165</v>
      </c>
      <c r="E165" s="24" t="s">
        <v>570</v>
      </c>
      <c r="F165" s="24" t="s">
        <v>231</v>
      </c>
      <c r="G165" s="25" t="s">
        <v>556</v>
      </c>
      <c r="H165" s="42" t="s">
        <v>571</v>
      </c>
      <c r="I165" s="24">
        <v>3</v>
      </c>
      <c r="J165" s="24"/>
      <c r="K165" s="24"/>
      <c r="L165" s="24"/>
      <c r="M165" s="25"/>
    </row>
    <row r="166" spans="1:13" ht="30" customHeight="1" x14ac:dyDescent="0.3">
      <c r="A166" s="32">
        <v>23</v>
      </c>
      <c r="B166" s="32" t="s">
        <v>531</v>
      </c>
      <c r="C166" s="33" t="s">
        <v>34</v>
      </c>
      <c r="D166" s="34" t="s">
        <v>165</v>
      </c>
      <c r="E166" s="32" t="s">
        <v>572</v>
      </c>
      <c r="F166" s="32" t="s">
        <v>235</v>
      </c>
      <c r="G166" s="33" t="s">
        <v>236</v>
      </c>
      <c r="H166" s="34" t="s">
        <v>573</v>
      </c>
      <c r="I166" s="32">
        <v>5</v>
      </c>
      <c r="J166" s="32"/>
      <c r="K166" s="32"/>
      <c r="L166" s="32"/>
      <c r="M166" s="33"/>
    </row>
    <row r="167" spans="1:13" ht="30" customHeight="1" x14ac:dyDescent="0.3">
      <c r="A167" s="35">
        <v>23</v>
      </c>
      <c r="B167" s="35" t="s">
        <v>531</v>
      </c>
      <c r="C167" s="36" t="s">
        <v>34</v>
      </c>
      <c r="D167" s="37" t="s">
        <v>165</v>
      </c>
      <c r="E167" s="35" t="s">
        <v>574</v>
      </c>
      <c r="F167" s="35" t="s">
        <v>239</v>
      </c>
      <c r="G167" s="36" t="s">
        <v>240</v>
      </c>
      <c r="H167" s="37" t="s">
        <v>575</v>
      </c>
      <c r="I167" s="35">
        <v>2</v>
      </c>
      <c r="J167" s="35"/>
      <c r="K167" s="35"/>
      <c r="L167" s="35"/>
      <c r="M167" s="36"/>
    </row>
    <row r="168" spans="1:13" ht="30" customHeight="1" x14ac:dyDescent="0.3">
      <c r="A168" s="24">
        <v>23</v>
      </c>
      <c r="B168" s="24" t="s">
        <v>531</v>
      </c>
      <c r="C168" s="25" t="s">
        <v>34</v>
      </c>
      <c r="D168" s="42" t="s">
        <v>165</v>
      </c>
      <c r="E168" s="24" t="s">
        <v>576</v>
      </c>
      <c r="F168" s="24" t="s">
        <v>243</v>
      </c>
      <c r="G168" s="25" t="s">
        <v>34</v>
      </c>
      <c r="H168" s="42" t="s">
        <v>577</v>
      </c>
      <c r="I168" s="24">
        <v>3</v>
      </c>
      <c r="J168" s="24"/>
      <c r="K168" s="24"/>
      <c r="L168" s="24"/>
      <c r="M168" s="25"/>
    </row>
    <row r="169" spans="1:13" ht="30" customHeight="1" x14ac:dyDescent="0.3">
      <c r="A169" s="24">
        <v>24</v>
      </c>
      <c r="B169" s="24" t="s">
        <v>531</v>
      </c>
      <c r="C169" s="25" t="s">
        <v>34</v>
      </c>
      <c r="D169" s="42" t="s">
        <v>170</v>
      </c>
      <c r="E169" s="24" t="s">
        <v>578</v>
      </c>
      <c r="F169" s="24" t="s">
        <v>220</v>
      </c>
      <c r="G169" s="25" t="s">
        <v>34</v>
      </c>
      <c r="H169" s="42" t="s">
        <v>579</v>
      </c>
      <c r="I169" s="24">
        <v>3</v>
      </c>
      <c r="J169" s="24"/>
      <c r="K169" s="24"/>
      <c r="L169" s="24"/>
      <c r="M169" s="25"/>
    </row>
    <row r="170" spans="1:13" ht="30" customHeight="1" x14ac:dyDescent="0.3">
      <c r="A170" s="24">
        <v>24</v>
      </c>
      <c r="B170" s="24" t="s">
        <v>531</v>
      </c>
      <c r="C170" s="25" t="s">
        <v>34</v>
      </c>
      <c r="D170" s="42" t="s">
        <v>170</v>
      </c>
      <c r="E170" s="24" t="s">
        <v>580</v>
      </c>
      <c r="F170" s="24" t="s">
        <v>223</v>
      </c>
      <c r="G170" s="25" t="s">
        <v>550</v>
      </c>
      <c r="H170" s="42" t="s">
        <v>581</v>
      </c>
      <c r="I170" s="24">
        <v>3</v>
      </c>
      <c r="J170" s="24"/>
      <c r="K170" s="24"/>
      <c r="L170" s="24"/>
      <c r="M170" s="25"/>
    </row>
    <row r="171" spans="1:13" ht="30" customHeight="1" x14ac:dyDescent="0.3">
      <c r="A171" s="24">
        <v>24</v>
      </c>
      <c r="B171" s="24" t="s">
        <v>531</v>
      </c>
      <c r="C171" s="25" t="s">
        <v>34</v>
      </c>
      <c r="D171" s="42" t="s">
        <v>170</v>
      </c>
      <c r="E171" s="24" t="s">
        <v>582</v>
      </c>
      <c r="F171" s="24" t="s">
        <v>227</v>
      </c>
      <c r="G171" s="25" t="s">
        <v>553</v>
      </c>
      <c r="H171" s="42" t="s">
        <v>583</v>
      </c>
      <c r="I171" s="24">
        <v>3</v>
      </c>
      <c r="J171" s="24"/>
      <c r="K171" s="24"/>
      <c r="L171" s="24"/>
      <c r="M171" s="25"/>
    </row>
    <row r="172" spans="1:13" ht="30" customHeight="1" x14ac:dyDescent="0.3">
      <c r="A172" s="24">
        <v>24</v>
      </c>
      <c r="B172" s="24" t="s">
        <v>531</v>
      </c>
      <c r="C172" s="25" t="s">
        <v>34</v>
      </c>
      <c r="D172" s="42" t="s">
        <v>170</v>
      </c>
      <c r="E172" s="24" t="s">
        <v>584</v>
      </c>
      <c r="F172" s="24" t="s">
        <v>231</v>
      </c>
      <c r="G172" s="25" t="s">
        <v>556</v>
      </c>
      <c r="H172" s="42" t="s">
        <v>585</v>
      </c>
      <c r="I172" s="24">
        <v>3</v>
      </c>
      <c r="J172" s="24"/>
      <c r="K172" s="24"/>
      <c r="L172" s="24"/>
      <c r="M172" s="25"/>
    </row>
    <row r="173" spans="1:13" ht="30" customHeight="1" x14ac:dyDescent="0.3">
      <c r="A173" s="32">
        <v>24</v>
      </c>
      <c r="B173" s="32" t="s">
        <v>531</v>
      </c>
      <c r="C173" s="33" t="s">
        <v>34</v>
      </c>
      <c r="D173" s="34" t="s">
        <v>170</v>
      </c>
      <c r="E173" s="32" t="s">
        <v>586</v>
      </c>
      <c r="F173" s="32" t="s">
        <v>235</v>
      </c>
      <c r="G173" s="33" t="s">
        <v>236</v>
      </c>
      <c r="H173" s="34" t="s">
        <v>587</v>
      </c>
      <c r="I173" s="32">
        <v>5</v>
      </c>
      <c r="J173" s="32"/>
      <c r="K173" s="32"/>
      <c r="L173" s="32"/>
      <c r="M173" s="33"/>
    </row>
    <row r="174" spans="1:13" ht="30" customHeight="1" x14ac:dyDescent="0.3">
      <c r="A174" s="35">
        <v>24</v>
      </c>
      <c r="B174" s="35" t="s">
        <v>531</v>
      </c>
      <c r="C174" s="36" t="s">
        <v>34</v>
      </c>
      <c r="D174" s="37" t="s">
        <v>170</v>
      </c>
      <c r="E174" s="35" t="s">
        <v>588</v>
      </c>
      <c r="F174" s="35" t="s">
        <v>239</v>
      </c>
      <c r="G174" s="36" t="s">
        <v>240</v>
      </c>
      <c r="H174" s="37" t="s">
        <v>589</v>
      </c>
      <c r="I174" s="35">
        <v>2</v>
      </c>
      <c r="J174" s="35"/>
      <c r="K174" s="35"/>
      <c r="L174" s="35"/>
      <c r="M174" s="36"/>
    </row>
    <row r="175" spans="1:13" ht="30" customHeight="1" x14ac:dyDescent="0.3">
      <c r="A175" s="24">
        <v>24</v>
      </c>
      <c r="B175" s="24" t="s">
        <v>531</v>
      </c>
      <c r="C175" s="25" t="s">
        <v>34</v>
      </c>
      <c r="D175" s="42" t="s">
        <v>170</v>
      </c>
      <c r="E175" s="24" t="s">
        <v>590</v>
      </c>
      <c r="F175" s="24" t="s">
        <v>243</v>
      </c>
      <c r="G175" s="25" t="s">
        <v>34</v>
      </c>
      <c r="H175" s="42" t="s">
        <v>591</v>
      </c>
      <c r="I175" s="24">
        <v>3</v>
      </c>
      <c r="J175" s="24"/>
      <c r="K175" s="24"/>
      <c r="L175" s="24"/>
      <c r="M175" s="25"/>
    </row>
    <row r="176" spans="1:13" ht="30" customHeight="1" x14ac:dyDescent="0.3">
      <c r="A176" s="24">
        <v>25</v>
      </c>
      <c r="B176" s="24" t="s">
        <v>592</v>
      </c>
      <c r="C176" s="25" t="s">
        <v>34</v>
      </c>
      <c r="D176" s="42" t="s">
        <v>175</v>
      </c>
      <c r="E176" s="24" t="s">
        <v>593</v>
      </c>
      <c r="F176" s="24" t="s">
        <v>220</v>
      </c>
      <c r="G176" s="25" t="s">
        <v>34</v>
      </c>
      <c r="H176" s="42" t="s">
        <v>594</v>
      </c>
      <c r="I176" s="24">
        <v>3</v>
      </c>
      <c r="J176" s="24"/>
      <c r="K176" s="24"/>
      <c r="L176" s="24"/>
      <c r="M176" s="25"/>
    </row>
    <row r="177" spans="1:13" ht="30" customHeight="1" x14ac:dyDescent="0.3">
      <c r="A177" s="24">
        <v>25</v>
      </c>
      <c r="B177" s="24" t="s">
        <v>592</v>
      </c>
      <c r="C177" s="25" t="s">
        <v>34</v>
      </c>
      <c r="D177" s="42" t="s">
        <v>175</v>
      </c>
      <c r="E177" s="24" t="s">
        <v>595</v>
      </c>
      <c r="F177" s="24" t="s">
        <v>223</v>
      </c>
      <c r="G177" s="25" t="s">
        <v>550</v>
      </c>
      <c r="H177" s="42" t="s">
        <v>596</v>
      </c>
      <c r="I177" s="24">
        <v>3</v>
      </c>
      <c r="J177" s="24"/>
      <c r="K177" s="24"/>
      <c r="L177" s="24"/>
      <c r="M177" s="25"/>
    </row>
    <row r="178" spans="1:13" ht="30" customHeight="1" x14ac:dyDescent="0.3">
      <c r="A178" s="24">
        <v>25</v>
      </c>
      <c r="B178" s="24" t="s">
        <v>592</v>
      </c>
      <c r="C178" s="25" t="s">
        <v>34</v>
      </c>
      <c r="D178" s="42" t="s">
        <v>175</v>
      </c>
      <c r="E178" s="24" t="s">
        <v>597</v>
      </c>
      <c r="F178" s="24" t="s">
        <v>227</v>
      </c>
      <c r="G178" s="25" t="s">
        <v>553</v>
      </c>
      <c r="H178" s="42" t="s">
        <v>598</v>
      </c>
      <c r="I178" s="24">
        <v>3</v>
      </c>
      <c r="J178" s="24"/>
      <c r="K178" s="24"/>
      <c r="L178" s="24"/>
      <c r="M178" s="25"/>
    </row>
    <row r="179" spans="1:13" ht="30" customHeight="1" x14ac:dyDescent="0.3">
      <c r="A179" s="24">
        <v>25</v>
      </c>
      <c r="B179" s="24" t="s">
        <v>592</v>
      </c>
      <c r="C179" s="25" t="s">
        <v>34</v>
      </c>
      <c r="D179" s="42" t="s">
        <v>175</v>
      </c>
      <c r="E179" s="24" t="s">
        <v>599</v>
      </c>
      <c r="F179" s="24" t="s">
        <v>231</v>
      </c>
      <c r="G179" s="25" t="s">
        <v>556</v>
      </c>
      <c r="H179" s="42" t="s">
        <v>600</v>
      </c>
      <c r="I179" s="24">
        <v>3</v>
      </c>
      <c r="J179" s="24"/>
      <c r="K179" s="24"/>
      <c r="L179" s="24"/>
      <c r="M179" s="25"/>
    </row>
    <row r="180" spans="1:13" ht="30" customHeight="1" x14ac:dyDescent="0.3">
      <c r="A180" s="32">
        <v>25</v>
      </c>
      <c r="B180" s="32" t="s">
        <v>592</v>
      </c>
      <c r="C180" s="33" t="s">
        <v>34</v>
      </c>
      <c r="D180" s="34" t="s">
        <v>175</v>
      </c>
      <c r="E180" s="32" t="s">
        <v>601</v>
      </c>
      <c r="F180" s="32" t="s">
        <v>235</v>
      </c>
      <c r="G180" s="33" t="s">
        <v>236</v>
      </c>
      <c r="H180" s="34" t="s">
        <v>602</v>
      </c>
      <c r="I180" s="32">
        <v>5</v>
      </c>
      <c r="J180" s="32"/>
      <c r="K180" s="32"/>
      <c r="L180" s="32"/>
      <c r="M180" s="33"/>
    </row>
    <row r="181" spans="1:13" ht="30" customHeight="1" x14ac:dyDescent="0.3">
      <c r="A181" s="35">
        <v>25</v>
      </c>
      <c r="B181" s="35" t="s">
        <v>592</v>
      </c>
      <c r="C181" s="36" t="s">
        <v>34</v>
      </c>
      <c r="D181" s="37" t="s">
        <v>175</v>
      </c>
      <c r="E181" s="35" t="s">
        <v>603</v>
      </c>
      <c r="F181" s="35" t="s">
        <v>239</v>
      </c>
      <c r="G181" s="36" t="s">
        <v>240</v>
      </c>
      <c r="H181" s="37" t="s">
        <v>604</v>
      </c>
      <c r="I181" s="35">
        <v>2</v>
      </c>
      <c r="J181" s="35"/>
      <c r="K181" s="35"/>
      <c r="L181" s="35"/>
      <c r="M181" s="36"/>
    </row>
    <row r="182" spans="1:13" ht="30" customHeight="1" x14ac:dyDescent="0.3">
      <c r="A182" s="24">
        <v>25</v>
      </c>
      <c r="B182" s="24" t="s">
        <v>592</v>
      </c>
      <c r="C182" s="25" t="s">
        <v>34</v>
      </c>
      <c r="D182" s="42" t="s">
        <v>175</v>
      </c>
      <c r="E182" s="24" t="s">
        <v>605</v>
      </c>
      <c r="F182" s="24" t="s">
        <v>243</v>
      </c>
      <c r="G182" s="25" t="s">
        <v>34</v>
      </c>
      <c r="H182" s="42" t="s">
        <v>606</v>
      </c>
      <c r="I182" s="24">
        <v>3</v>
      </c>
      <c r="J182" s="24"/>
      <c r="K182" s="24"/>
      <c r="L182" s="24"/>
      <c r="M182" s="25"/>
    </row>
    <row r="183" spans="1:13" ht="30" customHeight="1" x14ac:dyDescent="0.3">
      <c r="A183" s="24">
        <v>26</v>
      </c>
      <c r="B183" s="24" t="s">
        <v>592</v>
      </c>
      <c r="C183" s="25" t="s">
        <v>34</v>
      </c>
      <c r="D183" s="42" t="s">
        <v>180</v>
      </c>
      <c r="E183" s="24" t="s">
        <v>607</v>
      </c>
      <c r="F183" s="24" t="s">
        <v>220</v>
      </c>
      <c r="G183" s="25" t="s">
        <v>34</v>
      </c>
      <c r="H183" s="42" t="s">
        <v>608</v>
      </c>
      <c r="I183" s="24">
        <v>3</v>
      </c>
      <c r="J183" s="24"/>
      <c r="K183" s="24"/>
      <c r="L183" s="24"/>
      <c r="M183" s="25"/>
    </row>
    <row r="184" spans="1:13" ht="30" customHeight="1" x14ac:dyDescent="0.3">
      <c r="A184" s="24">
        <v>26</v>
      </c>
      <c r="B184" s="24" t="s">
        <v>592</v>
      </c>
      <c r="C184" s="25" t="s">
        <v>34</v>
      </c>
      <c r="D184" s="42" t="s">
        <v>180</v>
      </c>
      <c r="E184" s="24" t="s">
        <v>609</v>
      </c>
      <c r="F184" s="24" t="s">
        <v>223</v>
      </c>
      <c r="G184" s="25" t="s">
        <v>550</v>
      </c>
      <c r="H184" s="42" t="s">
        <v>610</v>
      </c>
      <c r="I184" s="24">
        <v>3</v>
      </c>
      <c r="J184" s="24"/>
      <c r="K184" s="24"/>
      <c r="L184" s="24"/>
      <c r="M184" s="25"/>
    </row>
    <row r="185" spans="1:13" ht="30" customHeight="1" x14ac:dyDescent="0.3">
      <c r="A185" s="24">
        <v>26</v>
      </c>
      <c r="B185" s="24" t="s">
        <v>592</v>
      </c>
      <c r="C185" s="25" t="s">
        <v>34</v>
      </c>
      <c r="D185" s="42" t="s">
        <v>180</v>
      </c>
      <c r="E185" s="24" t="s">
        <v>611</v>
      </c>
      <c r="F185" s="24" t="s">
        <v>227</v>
      </c>
      <c r="G185" s="25" t="s">
        <v>553</v>
      </c>
      <c r="H185" s="42" t="s">
        <v>612</v>
      </c>
      <c r="I185" s="24">
        <v>3</v>
      </c>
      <c r="J185" s="24"/>
      <c r="K185" s="24"/>
      <c r="L185" s="24"/>
      <c r="M185" s="25"/>
    </row>
    <row r="186" spans="1:13" ht="30" customHeight="1" x14ac:dyDescent="0.3">
      <c r="A186" s="24">
        <v>26</v>
      </c>
      <c r="B186" s="24" t="s">
        <v>592</v>
      </c>
      <c r="C186" s="25" t="s">
        <v>34</v>
      </c>
      <c r="D186" s="42" t="s">
        <v>180</v>
      </c>
      <c r="E186" s="24" t="s">
        <v>613</v>
      </c>
      <c r="F186" s="24" t="s">
        <v>231</v>
      </c>
      <c r="G186" s="25" t="s">
        <v>556</v>
      </c>
      <c r="H186" s="42" t="s">
        <v>614</v>
      </c>
      <c r="I186" s="24">
        <v>3</v>
      </c>
      <c r="J186" s="24"/>
      <c r="K186" s="24"/>
      <c r="L186" s="24"/>
      <c r="M186" s="25"/>
    </row>
    <row r="187" spans="1:13" ht="30" customHeight="1" x14ac:dyDescent="0.3">
      <c r="A187" s="32">
        <v>26</v>
      </c>
      <c r="B187" s="32" t="s">
        <v>592</v>
      </c>
      <c r="C187" s="33" t="s">
        <v>34</v>
      </c>
      <c r="D187" s="34" t="s">
        <v>180</v>
      </c>
      <c r="E187" s="32" t="s">
        <v>615</v>
      </c>
      <c r="F187" s="32" t="s">
        <v>235</v>
      </c>
      <c r="G187" s="33" t="s">
        <v>236</v>
      </c>
      <c r="H187" s="34" t="s">
        <v>602</v>
      </c>
      <c r="I187" s="32">
        <v>5</v>
      </c>
      <c r="J187" s="32"/>
      <c r="K187" s="32"/>
      <c r="L187" s="32"/>
      <c r="M187" s="33"/>
    </row>
    <row r="188" spans="1:13" ht="30" customHeight="1" x14ac:dyDescent="0.3">
      <c r="A188" s="35">
        <v>26</v>
      </c>
      <c r="B188" s="35" t="s">
        <v>592</v>
      </c>
      <c r="C188" s="36" t="s">
        <v>34</v>
      </c>
      <c r="D188" s="37" t="s">
        <v>180</v>
      </c>
      <c r="E188" s="35" t="s">
        <v>616</v>
      </c>
      <c r="F188" s="35" t="s">
        <v>239</v>
      </c>
      <c r="G188" s="36" t="s">
        <v>240</v>
      </c>
      <c r="H188" s="37" t="s">
        <v>617</v>
      </c>
      <c r="I188" s="35">
        <v>2</v>
      </c>
      <c r="J188" s="35"/>
      <c r="K188" s="35"/>
      <c r="L188" s="35"/>
      <c r="M188" s="36"/>
    </row>
    <row r="189" spans="1:13" ht="30" customHeight="1" x14ac:dyDescent="0.3">
      <c r="A189" s="24">
        <v>26</v>
      </c>
      <c r="B189" s="24" t="s">
        <v>592</v>
      </c>
      <c r="C189" s="25" t="s">
        <v>34</v>
      </c>
      <c r="D189" s="42" t="s">
        <v>180</v>
      </c>
      <c r="E189" s="24" t="s">
        <v>618</v>
      </c>
      <c r="F189" s="24" t="s">
        <v>243</v>
      </c>
      <c r="G189" s="25" t="s">
        <v>34</v>
      </c>
      <c r="H189" s="42" t="s">
        <v>619</v>
      </c>
      <c r="I189" s="24">
        <v>3</v>
      </c>
      <c r="J189" s="24"/>
      <c r="K189" s="24"/>
      <c r="L189" s="24"/>
      <c r="M189" s="25"/>
    </row>
    <row r="190" spans="1:13" ht="18" customHeight="1" x14ac:dyDescent="0.3">
      <c r="A190" s="68" t="s">
        <v>620</v>
      </c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</row>
    <row r="191" spans="1:13" ht="30" customHeight="1" x14ac:dyDescent="0.3">
      <c r="A191" s="32">
        <v>27</v>
      </c>
      <c r="B191" s="32" t="s">
        <v>592</v>
      </c>
      <c r="C191" s="33" t="s">
        <v>38</v>
      </c>
      <c r="D191" s="34" t="s">
        <v>185</v>
      </c>
      <c r="E191" s="32" t="s">
        <v>621</v>
      </c>
      <c r="F191" s="32" t="s">
        <v>220</v>
      </c>
      <c r="G191" s="33" t="s">
        <v>38</v>
      </c>
      <c r="H191" s="34" t="s">
        <v>622</v>
      </c>
      <c r="I191" s="32">
        <v>3</v>
      </c>
      <c r="J191" s="32"/>
      <c r="K191" s="32"/>
      <c r="L191" s="32"/>
      <c r="M191" s="33"/>
    </row>
    <row r="192" spans="1:13" ht="30" customHeight="1" x14ac:dyDescent="0.3">
      <c r="A192" s="32">
        <v>27</v>
      </c>
      <c r="B192" s="32" t="s">
        <v>592</v>
      </c>
      <c r="C192" s="33" t="s">
        <v>38</v>
      </c>
      <c r="D192" s="34" t="s">
        <v>185</v>
      </c>
      <c r="E192" s="32" t="s">
        <v>623</v>
      </c>
      <c r="F192" s="32" t="s">
        <v>223</v>
      </c>
      <c r="G192" s="33" t="s">
        <v>624</v>
      </c>
      <c r="H192" s="34" t="s">
        <v>625</v>
      </c>
      <c r="I192" s="32">
        <v>3</v>
      </c>
      <c r="J192" s="32"/>
      <c r="K192" s="32"/>
      <c r="L192" s="32"/>
      <c r="M192" s="33"/>
    </row>
    <row r="193" spans="1:13" ht="30" customHeight="1" x14ac:dyDescent="0.3">
      <c r="A193" s="32">
        <v>27</v>
      </c>
      <c r="B193" s="32" t="s">
        <v>592</v>
      </c>
      <c r="C193" s="33" t="s">
        <v>38</v>
      </c>
      <c r="D193" s="34" t="s">
        <v>185</v>
      </c>
      <c r="E193" s="32" t="s">
        <v>626</v>
      </c>
      <c r="F193" s="32" t="s">
        <v>227</v>
      </c>
      <c r="G193" s="33" t="s">
        <v>627</v>
      </c>
      <c r="H193" s="34" t="s">
        <v>628</v>
      </c>
      <c r="I193" s="32">
        <v>3</v>
      </c>
      <c r="J193" s="32"/>
      <c r="K193" s="32"/>
      <c r="L193" s="32"/>
      <c r="M193" s="33"/>
    </row>
    <row r="194" spans="1:13" ht="30" customHeight="1" x14ac:dyDescent="0.3">
      <c r="A194" s="32">
        <v>27</v>
      </c>
      <c r="B194" s="32" t="s">
        <v>592</v>
      </c>
      <c r="C194" s="33" t="s">
        <v>38</v>
      </c>
      <c r="D194" s="34" t="s">
        <v>185</v>
      </c>
      <c r="E194" s="32" t="s">
        <v>629</v>
      </c>
      <c r="F194" s="32" t="s">
        <v>231</v>
      </c>
      <c r="G194" s="33" t="s">
        <v>630</v>
      </c>
      <c r="H194" s="34" t="s">
        <v>631</v>
      </c>
      <c r="I194" s="32">
        <v>3</v>
      </c>
      <c r="J194" s="32"/>
      <c r="K194" s="32"/>
      <c r="L194" s="32"/>
      <c r="M194" s="33"/>
    </row>
    <row r="195" spans="1:13" ht="30" customHeight="1" x14ac:dyDescent="0.3">
      <c r="A195" s="32">
        <v>27</v>
      </c>
      <c r="B195" s="32" t="s">
        <v>592</v>
      </c>
      <c r="C195" s="33" t="s">
        <v>38</v>
      </c>
      <c r="D195" s="34" t="s">
        <v>185</v>
      </c>
      <c r="E195" s="32" t="s">
        <v>632</v>
      </c>
      <c r="F195" s="32" t="s">
        <v>235</v>
      </c>
      <c r="G195" s="33" t="s">
        <v>236</v>
      </c>
      <c r="H195" s="34" t="s">
        <v>602</v>
      </c>
      <c r="I195" s="32">
        <v>5</v>
      </c>
      <c r="J195" s="32"/>
      <c r="K195" s="32"/>
      <c r="L195" s="32"/>
      <c r="M195" s="33"/>
    </row>
    <row r="196" spans="1:13" ht="30" customHeight="1" x14ac:dyDescent="0.3">
      <c r="A196" s="35">
        <v>27</v>
      </c>
      <c r="B196" s="35" t="s">
        <v>592</v>
      </c>
      <c r="C196" s="36" t="s">
        <v>38</v>
      </c>
      <c r="D196" s="37" t="s">
        <v>185</v>
      </c>
      <c r="E196" s="35" t="s">
        <v>633</v>
      </c>
      <c r="F196" s="35" t="s">
        <v>239</v>
      </c>
      <c r="G196" s="36" t="s">
        <v>240</v>
      </c>
      <c r="H196" s="37" t="s">
        <v>617</v>
      </c>
      <c r="I196" s="35">
        <v>2</v>
      </c>
      <c r="J196" s="35"/>
      <c r="K196" s="35"/>
      <c r="L196" s="35"/>
      <c r="M196" s="36"/>
    </row>
    <row r="197" spans="1:13" ht="30" customHeight="1" x14ac:dyDescent="0.3">
      <c r="A197" s="32">
        <v>27</v>
      </c>
      <c r="B197" s="32" t="s">
        <v>592</v>
      </c>
      <c r="C197" s="33" t="s">
        <v>38</v>
      </c>
      <c r="D197" s="34" t="s">
        <v>185</v>
      </c>
      <c r="E197" s="32" t="s">
        <v>634</v>
      </c>
      <c r="F197" s="32" t="s">
        <v>243</v>
      </c>
      <c r="G197" s="33" t="s">
        <v>38</v>
      </c>
      <c r="H197" s="34" t="s">
        <v>635</v>
      </c>
      <c r="I197" s="32">
        <v>3</v>
      </c>
      <c r="J197" s="32"/>
      <c r="K197" s="32"/>
      <c r="L197" s="32"/>
      <c r="M197" s="33"/>
    </row>
    <row r="198" spans="1:13" ht="30" customHeight="1" x14ac:dyDescent="0.3">
      <c r="A198" s="32">
        <v>28</v>
      </c>
      <c r="B198" s="32" t="s">
        <v>592</v>
      </c>
      <c r="C198" s="33" t="s">
        <v>38</v>
      </c>
      <c r="D198" s="34" t="s">
        <v>190</v>
      </c>
      <c r="E198" s="32" t="s">
        <v>636</v>
      </c>
      <c r="F198" s="32" t="s">
        <v>220</v>
      </c>
      <c r="G198" s="33" t="s">
        <v>38</v>
      </c>
      <c r="H198" s="34" t="s">
        <v>637</v>
      </c>
      <c r="I198" s="32">
        <v>3</v>
      </c>
      <c r="J198" s="32"/>
      <c r="K198" s="32"/>
      <c r="L198" s="32"/>
      <c r="M198" s="33"/>
    </row>
    <row r="199" spans="1:13" ht="30" customHeight="1" x14ac:dyDescent="0.3">
      <c r="A199" s="32">
        <v>28</v>
      </c>
      <c r="B199" s="32" t="s">
        <v>592</v>
      </c>
      <c r="C199" s="33" t="s">
        <v>38</v>
      </c>
      <c r="D199" s="34" t="s">
        <v>190</v>
      </c>
      <c r="E199" s="32" t="s">
        <v>638</v>
      </c>
      <c r="F199" s="32" t="s">
        <v>223</v>
      </c>
      <c r="G199" s="33" t="s">
        <v>624</v>
      </c>
      <c r="H199" s="34" t="s">
        <v>639</v>
      </c>
      <c r="I199" s="32">
        <v>3</v>
      </c>
      <c r="J199" s="32"/>
      <c r="K199" s="32"/>
      <c r="L199" s="32"/>
      <c r="M199" s="33"/>
    </row>
    <row r="200" spans="1:13" ht="30" customHeight="1" x14ac:dyDescent="0.3">
      <c r="A200" s="32">
        <v>28</v>
      </c>
      <c r="B200" s="32" t="s">
        <v>592</v>
      </c>
      <c r="C200" s="33" t="s">
        <v>38</v>
      </c>
      <c r="D200" s="34" t="s">
        <v>190</v>
      </c>
      <c r="E200" s="32" t="s">
        <v>640</v>
      </c>
      <c r="F200" s="32" t="s">
        <v>227</v>
      </c>
      <c r="G200" s="33" t="s">
        <v>627</v>
      </c>
      <c r="H200" s="34" t="s">
        <v>641</v>
      </c>
      <c r="I200" s="32">
        <v>3</v>
      </c>
      <c r="J200" s="32"/>
      <c r="K200" s="32"/>
      <c r="L200" s="32"/>
      <c r="M200" s="33"/>
    </row>
    <row r="201" spans="1:13" ht="30" customHeight="1" x14ac:dyDescent="0.3">
      <c r="A201" s="32">
        <v>28</v>
      </c>
      <c r="B201" s="32" t="s">
        <v>592</v>
      </c>
      <c r="C201" s="33" t="s">
        <v>38</v>
      </c>
      <c r="D201" s="34" t="s">
        <v>190</v>
      </c>
      <c r="E201" s="32" t="s">
        <v>642</v>
      </c>
      <c r="F201" s="32" t="s">
        <v>231</v>
      </c>
      <c r="G201" s="33" t="s">
        <v>630</v>
      </c>
      <c r="H201" s="34" t="s">
        <v>643</v>
      </c>
      <c r="I201" s="32">
        <v>3</v>
      </c>
      <c r="J201" s="32"/>
      <c r="K201" s="32"/>
      <c r="L201" s="32"/>
      <c r="M201" s="33"/>
    </row>
    <row r="202" spans="1:13" ht="30" customHeight="1" x14ac:dyDescent="0.3">
      <c r="A202" s="32">
        <v>28</v>
      </c>
      <c r="B202" s="32" t="s">
        <v>592</v>
      </c>
      <c r="C202" s="33" t="s">
        <v>38</v>
      </c>
      <c r="D202" s="34" t="s">
        <v>190</v>
      </c>
      <c r="E202" s="32" t="s">
        <v>644</v>
      </c>
      <c r="F202" s="32" t="s">
        <v>235</v>
      </c>
      <c r="G202" s="33" t="s">
        <v>236</v>
      </c>
      <c r="H202" s="34" t="s">
        <v>602</v>
      </c>
      <c r="I202" s="32">
        <v>5</v>
      </c>
      <c r="J202" s="32"/>
      <c r="K202" s="32"/>
      <c r="L202" s="32"/>
      <c r="M202" s="33"/>
    </row>
    <row r="203" spans="1:13" ht="30" customHeight="1" x14ac:dyDescent="0.3">
      <c r="A203" s="35">
        <v>28</v>
      </c>
      <c r="B203" s="35" t="s">
        <v>592</v>
      </c>
      <c r="C203" s="36" t="s">
        <v>38</v>
      </c>
      <c r="D203" s="37" t="s">
        <v>190</v>
      </c>
      <c r="E203" s="35" t="s">
        <v>645</v>
      </c>
      <c r="F203" s="35" t="s">
        <v>239</v>
      </c>
      <c r="G203" s="36" t="s">
        <v>240</v>
      </c>
      <c r="H203" s="37" t="s">
        <v>617</v>
      </c>
      <c r="I203" s="35">
        <v>2</v>
      </c>
      <c r="J203" s="35"/>
      <c r="K203" s="35"/>
      <c r="L203" s="35"/>
      <c r="M203" s="36"/>
    </row>
    <row r="204" spans="1:13" ht="30" customHeight="1" x14ac:dyDescent="0.3">
      <c r="A204" s="32">
        <v>28</v>
      </c>
      <c r="B204" s="32" t="s">
        <v>592</v>
      </c>
      <c r="C204" s="33" t="s">
        <v>38</v>
      </c>
      <c r="D204" s="34" t="s">
        <v>190</v>
      </c>
      <c r="E204" s="32" t="s">
        <v>646</v>
      </c>
      <c r="F204" s="32" t="s">
        <v>243</v>
      </c>
      <c r="G204" s="33" t="s">
        <v>38</v>
      </c>
      <c r="H204" s="34" t="s">
        <v>647</v>
      </c>
      <c r="I204" s="32">
        <v>3</v>
      </c>
      <c r="J204" s="32"/>
      <c r="K204" s="32"/>
      <c r="L204" s="32"/>
      <c r="M204" s="33"/>
    </row>
    <row r="205" spans="1:13" ht="30" customHeight="1" x14ac:dyDescent="0.3">
      <c r="A205" s="32">
        <v>29</v>
      </c>
      <c r="B205" s="32" t="s">
        <v>592</v>
      </c>
      <c r="C205" s="33" t="s">
        <v>38</v>
      </c>
      <c r="D205" s="34" t="s">
        <v>195</v>
      </c>
      <c r="E205" s="32" t="s">
        <v>648</v>
      </c>
      <c r="F205" s="32" t="s">
        <v>220</v>
      </c>
      <c r="G205" s="33" t="s">
        <v>38</v>
      </c>
      <c r="H205" s="34" t="s">
        <v>649</v>
      </c>
      <c r="I205" s="32">
        <v>3</v>
      </c>
      <c r="J205" s="32"/>
      <c r="K205" s="32"/>
      <c r="L205" s="32"/>
      <c r="M205" s="33"/>
    </row>
    <row r="206" spans="1:13" ht="30" customHeight="1" x14ac:dyDescent="0.3">
      <c r="A206" s="32">
        <v>29</v>
      </c>
      <c r="B206" s="32" t="s">
        <v>592</v>
      </c>
      <c r="C206" s="33" t="s">
        <v>38</v>
      </c>
      <c r="D206" s="34" t="s">
        <v>195</v>
      </c>
      <c r="E206" s="32" t="s">
        <v>650</v>
      </c>
      <c r="F206" s="32" t="s">
        <v>223</v>
      </c>
      <c r="G206" s="33" t="s">
        <v>624</v>
      </c>
      <c r="H206" s="34" t="s">
        <v>651</v>
      </c>
      <c r="I206" s="32">
        <v>3</v>
      </c>
      <c r="J206" s="32"/>
      <c r="K206" s="32"/>
      <c r="L206" s="32"/>
      <c r="M206" s="33"/>
    </row>
    <row r="207" spans="1:13" ht="30" customHeight="1" x14ac:dyDescent="0.3">
      <c r="A207" s="32">
        <v>29</v>
      </c>
      <c r="B207" s="32" t="s">
        <v>592</v>
      </c>
      <c r="C207" s="33" t="s">
        <v>38</v>
      </c>
      <c r="D207" s="34" t="s">
        <v>195</v>
      </c>
      <c r="E207" s="32" t="s">
        <v>652</v>
      </c>
      <c r="F207" s="32" t="s">
        <v>227</v>
      </c>
      <c r="G207" s="33" t="s">
        <v>627</v>
      </c>
      <c r="H207" s="34" t="s">
        <v>653</v>
      </c>
      <c r="I207" s="32">
        <v>3</v>
      </c>
      <c r="J207" s="32"/>
      <c r="K207" s="32"/>
      <c r="L207" s="32"/>
      <c r="M207" s="33"/>
    </row>
    <row r="208" spans="1:13" ht="30" customHeight="1" x14ac:dyDescent="0.3">
      <c r="A208" s="32">
        <v>29</v>
      </c>
      <c r="B208" s="32" t="s">
        <v>592</v>
      </c>
      <c r="C208" s="33" t="s">
        <v>38</v>
      </c>
      <c r="D208" s="34" t="s">
        <v>195</v>
      </c>
      <c r="E208" s="32" t="s">
        <v>654</v>
      </c>
      <c r="F208" s="32" t="s">
        <v>231</v>
      </c>
      <c r="G208" s="33" t="s">
        <v>630</v>
      </c>
      <c r="H208" s="34" t="s">
        <v>655</v>
      </c>
      <c r="I208" s="32">
        <v>3</v>
      </c>
      <c r="J208" s="32"/>
      <c r="K208" s="32"/>
      <c r="L208" s="32"/>
      <c r="M208" s="33"/>
    </row>
    <row r="209" spans="1:13" ht="30" customHeight="1" x14ac:dyDescent="0.3">
      <c r="A209" s="32">
        <v>29</v>
      </c>
      <c r="B209" s="32" t="s">
        <v>592</v>
      </c>
      <c r="C209" s="33" t="s">
        <v>38</v>
      </c>
      <c r="D209" s="34" t="s">
        <v>195</v>
      </c>
      <c r="E209" s="32" t="s">
        <v>656</v>
      </c>
      <c r="F209" s="32" t="s">
        <v>235</v>
      </c>
      <c r="G209" s="33" t="s">
        <v>236</v>
      </c>
      <c r="H209" s="34" t="s">
        <v>602</v>
      </c>
      <c r="I209" s="32">
        <v>5</v>
      </c>
      <c r="J209" s="32"/>
      <c r="K209" s="32"/>
      <c r="L209" s="32"/>
      <c r="M209" s="33"/>
    </row>
    <row r="210" spans="1:13" ht="30" customHeight="1" x14ac:dyDescent="0.3">
      <c r="A210" s="35">
        <v>29</v>
      </c>
      <c r="B210" s="35" t="s">
        <v>592</v>
      </c>
      <c r="C210" s="36" t="s">
        <v>38</v>
      </c>
      <c r="D210" s="37" t="s">
        <v>195</v>
      </c>
      <c r="E210" s="35" t="s">
        <v>657</v>
      </c>
      <c r="F210" s="35" t="s">
        <v>239</v>
      </c>
      <c r="G210" s="36" t="s">
        <v>240</v>
      </c>
      <c r="H210" s="37" t="s">
        <v>617</v>
      </c>
      <c r="I210" s="35">
        <v>2</v>
      </c>
      <c r="J210" s="35"/>
      <c r="K210" s="35"/>
      <c r="L210" s="35"/>
      <c r="M210" s="36"/>
    </row>
    <row r="211" spans="1:13" ht="30" customHeight="1" x14ac:dyDescent="0.3">
      <c r="A211" s="32">
        <v>29</v>
      </c>
      <c r="B211" s="32" t="s">
        <v>592</v>
      </c>
      <c r="C211" s="33" t="s">
        <v>38</v>
      </c>
      <c r="D211" s="34" t="s">
        <v>195</v>
      </c>
      <c r="E211" s="32" t="s">
        <v>658</v>
      </c>
      <c r="F211" s="32" t="s">
        <v>243</v>
      </c>
      <c r="G211" s="33" t="s">
        <v>38</v>
      </c>
      <c r="H211" s="34" t="s">
        <v>659</v>
      </c>
      <c r="I211" s="32">
        <v>3</v>
      </c>
      <c r="J211" s="32"/>
      <c r="K211" s="32"/>
      <c r="L211" s="32"/>
      <c r="M211" s="33"/>
    </row>
    <row r="212" spans="1:13" ht="30" customHeight="1" x14ac:dyDescent="0.3">
      <c r="A212" s="32">
        <v>30</v>
      </c>
      <c r="B212" s="32" t="s">
        <v>592</v>
      </c>
      <c r="C212" s="33" t="s">
        <v>38</v>
      </c>
      <c r="D212" s="34" t="s">
        <v>200</v>
      </c>
      <c r="E212" s="32" t="s">
        <v>660</v>
      </c>
      <c r="F212" s="32" t="s">
        <v>220</v>
      </c>
      <c r="G212" s="33" t="s">
        <v>38</v>
      </c>
      <c r="H212" s="34" t="s">
        <v>661</v>
      </c>
      <c r="I212" s="32">
        <v>3</v>
      </c>
      <c r="J212" s="32"/>
      <c r="K212" s="32"/>
      <c r="L212" s="32"/>
      <c r="M212" s="33"/>
    </row>
    <row r="213" spans="1:13" ht="30" customHeight="1" x14ac:dyDescent="0.3">
      <c r="A213" s="32">
        <v>30</v>
      </c>
      <c r="B213" s="32" t="s">
        <v>592</v>
      </c>
      <c r="C213" s="33" t="s">
        <v>38</v>
      </c>
      <c r="D213" s="34" t="s">
        <v>200</v>
      </c>
      <c r="E213" s="32" t="s">
        <v>662</v>
      </c>
      <c r="F213" s="32" t="s">
        <v>223</v>
      </c>
      <c r="G213" s="33" t="s">
        <v>624</v>
      </c>
      <c r="H213" s="34" t="s">
        <v>663</v>
      </c>
      <c r="I213" s="32">
        <v>3</v>
      </c>
      <c r="J213" s="32"/>
      <c r="K213" s="32"/>
      <c r="L213" s="32"/>
      <c r="M213" s="33"/>
    </row>
    <row r="214" spans="1:13" ht="30" customHeight="1" x14ac:dyDescent="0.3">
      <c r="A214" s="32">
        <v>30</v>
      </c>
      <c r="B214" s="32" t="s">
        <v>592</v>
      </c>
      <c r="C214" s="33" t="s">
        <v>38</v>
      </c>
      <c r="D214" s="34" t="s">
        <v>200</v>
      </c>
      <c r="E214" s="32" t="s">
        <v>664</v>
      </c>
      <c r="F214" s="32" t="s">
        <v>227</v>
      </c>
      <c r="G214" s="33" t="s">
        <v>627</v>
      </c>
      <c r="H214" s="34" t="s">
        <v>665</v>
      </c>
      <c r="I214" s="32">
        <v>3</v>
      </c>
      <c r="J214" s="32"/>
      <c r="K214" s="32"/>
      <c r="L214" s="32"/>
      <c r="M214" s="33"/>
    </row>
    <row r="215" spans="1:13" ht="30" customHeight="1" x14ac:dyDescent="0.3">
      <c r="A215" s="32">
        <v>30</v>
      </c>
      <c r="B215" s="32" t="s">
        <v>592</v>
      </c>
      <c r="C215" s="33" t="s">
        <v>38</v>
      </c>
      <c r="D215" s="34" t="s">
        <v>200</v>
      </c>
      <c r="E215" s="32" t="s">
        <v>666</v>
      </c>
      <c r="F215" s="32" t="s">
        <v>231</v>
      </c>
      <c r="G215" s="33" t="s">
        <v>630</v>
      </c>
      <c r="H215" s="34" t="s">
        <v>667</v>
      </c>
      <c r="I215" s="32">
        <v>3</v>
      </c>
      <c r="J215" s="32"/>
      <c r="K215" s="32"/>
      <c r="L215" s="32"/>
      <c r="M215" s="33"/>
    </row>
    <row r="216" spans="1:13" ht="30" customHeight="1" x14ac:dyDescent="0.3">
      <c r="A216" s="32">
        <v>30</v>
      </c>
      <c r="B216" s="32" t="s">
        <v>592</v>
      </c>
      <c r="C216" s="33" t="s">
        <v>38</v>
      </c>
      <c r="D216" s="34" t="s">
        <v>200</v>
      </c>
      <c r="E216" s="32" t="s">
        <v>668</v>
      </c>
      <c r="F216" s="32" t="s">
        <v>235</v>
      </c>
      <c r="G216" s="33" t="s">
        <v>236</v>
      </c>
      <c r="H216" s="34" t="s">
        <v>602</v>
      </c>
      <c r="I216" s="32">
        <v>5</v>
      </c>
      <c r="J216" s="32"/>
      <c r="K216" s="32"/>
      <c r="L216" s="32"/>
      <c r="M216" s="33"/>
    </row>
    <row r="217" spans="1:13" ht="30" customHeight="1" x14ac:dyDescent="0.3">
      <c r="A217" s="35">
        <v>30</v>
      </c>
      <c r="B217" s="35" t="s">
        <v>592</v>
      </c>
      <c r="C217" s="36" t="s">
        <v>38</v>
      </c>
      <c r="D217" s="37" t="s">
        <v>200</v>
      </c>
      <c r="E217" s="35" t="s">
        <v>669</v>
      </c>
      <c r="F217" s="35" t="s">
        <v>239</v>
      </c>
      <c r="G217" s="36" t="s">
        <v>240</v>
      </c>
      <c r="H217" s="37" t="s">
        <v>617</v>
      </c>
      <c r="I217" s="35">
        <v>2</v>
      </c>
      <c r="J217" s="35"/>
      <c r="K217" s="35"/>
      <c r="L217" s="35"/>
      <c r="M217" s="36"/>
    </row>
    <row r="218" spans="1:13" ht="30" customHeight="1" x14ac:dyDescent="0.3">
      <c r="A218" s="32">
        <v>30</v>
      </c>
      <c r="B218" s="32" t="s">
        <v>592</v>
      </c>
      <c r="C218" s="33" t="s">
        <v>38</v>
      </c>
      <c r="D218" s="34" t="s">
        <v>200</v>
      </c>
      <c r="E218" s="32" t="s">
        <v>670</v>
      </c>
      <c r="F218" s="32" t="s">
        <v>243</v>
      </c>
      <c r="G218" s="33" t="s">
        <v>38</v>
      </c>
      <c r="H218" s="34" t="s">
        <v>671</v>
      </c>
      <c r="I218" s="32">
        <v>3</v>
      </c>
      <c r="J218" s="32"/>
      <c r="K218" s="32"/>
      <c r="L218" s="32"/>
      <c r="M218" s="33"/>
    </row>
  </sheetData>
  <mergeCells count="7">
    <mergeCell ref="A2:M2"/>
    <mergeCell ref="A46:M46"/>
    <mergeCell ref="A118:M118"/>
    <mergeCell ref="A31:M31"/>
    <mergeCell ref="A89:M89"/>
    <mergeCell ref="A190:M190"/>
    <mergeCell ref="A154:M154"/>
  </mergeCells>
  <dataValidations count="2">
    <dataValidation type="list" allowBlank="1" showErrorMessage="1" errorTitle="Status" error="Select &quot;Completed&quot; or &quot;In Progress&quot;" sqref="K2:K220" xr:uid="{00000000-0002-0000-0200-000000000000}">
      <formula1>"Completed,In Progress"</formula1>
    </dataValidation>
    <dataValidation type="list" allowBlank="1" showErrorMessage="1" errorTitle="Coding" error="Select Yes or No" sqref="L2:L220" xr:uid="{00000000-0002-0000-0200-000001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2" customWidth="1"/>
    <col min="2" max="2" width="16" customWidth="1"/>
    <col min="3" max="5" width="10" customWidth="1"/>
    <col min="6" max="6" width="12" customWidth="1"/>
  </cols>
  <sheetData>
    <row r="1" spans="1:6" ht="22.05" customHeight="1" x14ac:dyDescent="0.3">
      <c r="A1" s="71" t="s">
        <v>672</v>
      </c>
      <c r="B1" s="59"/>
      <c r="C1" s="59"/>
      <c r="D1" s="59"/>
      <c r="E1" s="59"/>
      <c r="F1" s="59"/>
    </row>
    <row r="2" spans="1:6" ht="19.95" customHeight="1" x14ac:dyDescent="0.3">
      <c r="A2" s="43" t="s">
        <v>673</v>
      </c>
      <c r="B2" s="43" t="s">
        <v>674</v>
      </c>
      <c r="C2" s="43" t="s">
        <v>675</v>
      </c>
      <c r="D2" s="43" t="s">
        <v>676</v>
      </c>
      <c r="E2" s="43" t="s">
        <v>677</v>
      </c>
      <c r="F2" s="43" t="s">
        <v>678</v>
      </c>
    </row>
    <row r="3" spans="1:6" ht="16.05" customHeight="1" x14ac:dyDescent="0.3">
      <c r="A3" s="15" t="s">
        <v>679</v>
      </c>
      <c r="B3" s="14" t="s">
        <v>14</v>
      </c>
      <c r="C3" s="44" t="s">
        <v>680</v>
      </c>
      <c r="D3" s="44" t="s">
        <v>680</v>
      </c>
      <c r="E3" s="44" t="s">
        <v>680</v>
      </c>
      <c r="F3" s="44" t="s">
        <v>680</v>
      </c>
    </row>
    <row r="4" spans="1:6" ht="16.05" customHeight="1" x14ac:dyDescent="0.3">
      <c r="A4" s="15" t="s">
        <v>681</v>
      </c>
      <c r="B4" s="14" t="s">
        <v>14</v>
      </c>
      <c r="C4" s="44" t="s">
        <v>680</v>
      </c>
      <c r="D4" s="44" t="s">
        <v>680</v>
      </c>
      <c r="E4" s="44" t="s">
        <v>680</v>
      </c>
      <c r="F4" s="44" t="s">
        <v>680</v>
      </c>
    </row>
    <row r="5" spans="1:6" ht="16.05" customHeight="1" x14ac:dyDescent="0.3">
      <c r="A5" s="15" t="s">
        <v>682</v>
      </c>
      <c r="B5" s="14" t="s">
        <v>14</v>
      </c>
      <c r="C5" s="44" t="s">
        <v>680</v>
      </c>
      <c r="D5" s="44" t="s">
        <v>680</v>
      </c>
      <c r="E5" s="44" t="s">
        <v>680</v>
      </c>
      <c r="F5" s="44" t="s">
        <v>680</v>
      </c>
    </row>
    <row r="6" spans="1:6" ht="16.05" customHeight="1" x14ac:dyDescent="0.3">
      <c r="A6" s="15" t="s">
        <v>683</v>
      </c>
      <c r="B6" s="14" t="s">
        <v>14</v>
      </c>
      <c r="C6" s="44" t="s">
        <v>680</v>
      </c>
      <c r="D6" s="44" t="s">
        <v>680</v>
      </c>
      <c r="E6" s="44" t="s">
        <v>680</v>
      </c>
      <c r="F6" s="44" t="s">
        <v>680</v>
      </c>
    </row>
    <row r="7" spans="1:6" ht="16.05" customHeight="1" x14ac:dyDescent="0.3">
      <c r="A7" s="15" t="s">
        <v>684</v>
      </c>
      <c r="B7" s="14" t="s">
        <v>14</v>
      </c>
      <c r="C7" s="44" t="s">
        <v>680</v>
      </c>
      <c r="D7" s="44" t="s">
        <v>680</v>
      </c>
      <c r="E7" s="44" t="s">
        <v>680</v>
      </c>
      <c r="F7" s="44" t="s">
        <v>680</v>
      </c>
    </row>
    <row r="8" spans="1:6" ht="16.05" customHeight="1" x14ac:dyDescent="0.3">
      <c r="A8" s="15" t="s">
        <v>685</v>
      </c>
      <c r="B8" s="14" t="s">
        <v>14</v>
      </c>
      <c r="C8" s="44" t="s">
        <v>680</v>
      </c>
      <c r="D8" s="44" t="s">
        <v>680</v>
      </c>
      <c r="E8" s="44" t="s">
        <v>680</v>
      </c>
      <c r="F8" s="44" t="s">
        <v>680</v>
      </c>
    </row>
    <row r="9" spans="1:6" ht="16.05" customHeight="1" x14ac:dyDescent="0.3">
      <c r="A9" s="15" t="s">
        <v>686</v>
      </c>
      <c r="B9" s="14" t="s">
        <v>14</v>
      </c>
      <c r="C9" s="44" t="s">
        <v>680</v>
      </c>
      <c r="D9" s="44" t="s">
        <v>680</v>
      </c>
      <c r="E9" s="44" t="s">
        <v>680</v>
      </c>
      <c r="F9" s="44" t="s">
        <v>680</v>
      </c>
    </row>
    <row r="10" spans="1:6" ht="16.05" customHeight="1" x14ac:dyDescent="0.3">
      <c r="A10" s="45" t="s">
        <v>687</v>
      </c>
      <c r="B10" s="46"/>
      <c r="C10" s="47" t="s">
        <v>680</v>
      </c>
      <c r="D10" s="47" t="s">
        <v>680</v>
      </c>
      <c r="E10" s="47" t="s">
        <v>680</v>
      </c>
      <c r="F10" s="47" t="s">
        <v>680</v>
      </c>
    </row>
    <row r="11" spans="1:6" ht="16.05" customHeight="1" x14ac:dyDescent="0.3">
      <c r="A11" s="15" t="s">
        <v>688</v>
      </c>
      <c r="B11" s="14" t="s">
        <v>14</v>
      </c>
      <c r="C11" s="44" t="s">
        <v>680</v>
      </c>
      <c r="D11" s="44" t="s">
        <v>680</v>
      </c>
      <c r="E11" s="44" t="s">
        <v>680</v>
      </c>
      <c r="F11" s="44" t="s">
        <v>680</v>
      </c>
    </row>
    <row r="12" spans="1:6" ht="16.05" customHeight="1" x14ac:dyDescent="0.3">
      <c r="A12" s="17" t="s">
        <v>689</v>
      </c>
      <c r="B12" s="16" t="s">
        <v>18</v>
      </c>
      <c r="C12" s="48" t="s">
        <v>680</v>
      </c>
      <c r="D12" s="48" t="s">
        <v>680</v>
      </c>
      <c r="E12" s="48" t="s">
        <v>680</v>
      </c>
      <c r="F12" s="48" t="s">
        <v>680</v>
      </c>
    </row>
    <row r="13" spans="1:6" ht="16.05" customHeight="1" x14ac:dyDescent="0.3">
      <c r="A13" s="17" t="s">
        <v>690</v>
      </c>
      <c r="B13" s="16" t="s">
        <v>18</v>
      </c>
      <c r="C13" s="48" t="s">
        <v>680</v>
      </c>
      <c r="D13" s="48" t="s">
        <v>680</v>
      </c>
      <c r="E13" s="48" t="s">
        <v>680</v>
      </c>
      <c r="F13" s="48" t="s">
        <v>680</v>
      </c>
    </row>
    <row r="14" spans="1:6" ht="16.05" customHeight="1" x14ac:dyDescent="0.3">
      <c r="A14" s="17" t="s">
        <v>691</v>
      </c>
      <c r="B14" s="16" t="s">
        <v>18</v>
      </c>
      <c r="C14" s="48" t="s">
        <v>680</v>
      </c>
      <c r="D14" s="48" t="s">
        <v>680</v>
      </c>
      <c r="E14" s="48" t="s">
        <v>680</v>
      </c>
      <c r="F14" s="48" t="s">
        <v>680</v>
      </c>
    </row>
    <row r="15" spans="1:6" ht="16.05" customHeight="1" x14ac:dyDescent="0.3">
      <c r="A15" s="19" t="s">
        <v>692</v>
      </c>
      <c r="B15" s="18" t="s">
        <v>22</v>
      </c>
      <c r="C15" s="49" t="s">
        <v>680</v>
      </c>
      <c r="D15" s="49" t="s">
        <v>680</v>
      </c>
      <c r="E15" s="49" t="s">
        <v>680</v>
      </c>
      <c r="F15" s="49" t="s">
        <v>680</v>
      </c>
    </row>
    <row r="16" spans="1:6" ht="16.05" customHeight="1" x14ac:dyDescent="0.3">
      <c r="A16" s="19" t="s">
        <v>693</v>
      </c>
      <c r="B16" s="18" t="s">
        <v>22</v>
      </c>
      <c r="C16" s="49" t="s">
        <v>680</v>
      </c>
      <c r="D16" s="49" t="s">
        <v>680</v>
      </c>
      <c r="E16" s="49" t="s">
        <v>680</v>
      </c>
      <c r="F16" s="49" t="s">
        <v>680</v>
      </c>
    </row>
    <row r="17" spans="1:6" ht="16.05" customHeight="1" x14ac:dyDescent="0.3">
      <c r="A17" s="19" t="s">
        <v>694</v>
      </c>
      <c r="B17" s="18" t="s">
        <v>22</v>
      </c>
      <c r="C17" s="49" t="s">
        <v>680</v>
      </c>
      <c r="D17" s="49" t="s">
        <v>680</v>
      </c>
      <c r="E17" s="49" t="s">
        <v>680</v>
      </c>
      <c r="F17" s="49" t="s">
        <v>680</v>
      </c>
    </row>
    <row r="18" spans="1:6" ht="16.05" customHeight="1" x14ac:dyDescent="0.3">
      <c r="A18" s="19" t="s">
        <v>695</v>
      </c>
      <c r="B18" s="18" t="s">
        <v>22</v>
      </c>
      <c r="C18" s="49" t="s">
        <v>680</v>
      </c>
      <c r="D18" s="49" t="s">
        <v>680</v>
      </c>
      <c r="E18" s="49" t="s">
        <v>680</v>
      </c>
      <c r="F18" s="49" t="s">
        <v>680</v>
      </c>
    </row>
    <row r="19" spans="1:6" ht="16.05" customHeight="1" x14ac:dyDescent="0.3">
      <c r="A19" s="19" t="s">
        <v>696</v>
      </c>
      <c r="B19" s="18" t="s">
        <v>22</v>
      </c>
      <c r="C19" s="49" t="s">
        <v>680</v>
      </c>
      <c r="D19" s="49" t="s">
        <v>680</v>
      </c>
      <c r="E19" s="49" t="s">
        <v>680</v>
      </c>
      <c r="F19" s="49" t="s">
        <v>680</v>
      </c>
    </row>
    <row r="20" spans="1:6" ht="16.05" customHeight="1" x14ac:dyDescent="0.3">
      <c r="A20" s="19" t="s">
        <v>697</v>
      </c>
      <c r="B20" s="18" t="s">
        <v>22</v>
      </c>
      <c r="C20" s="49" t="s">
        <v>680</v>
      </c>
      <c r="D20" s="49" t="s">
        <v>680</v>
      </c>
      <c r="E20" s="49" t="s">
        <v>680</v>
      </c>
      <c r="F20" s="49" t="s">
        <v>680</v>
      </c>
    </row>
    <row r="21" spans="1:6" ht="16.05" customHeight="1" x14ac:dyDescent="0.3">
      <c r="A21" s="19" t="s">
        <v>698</v>
      </c>
      <c r="B21" s="18" t="s">
        <v>22</v>
      </c>
      <c r="C21" s="49" t="s">
        <v>680</v>
      </c>
      <c r="D21" s="49" t="s">
        <v>680</v>
      </c>
      <c r="E21" s="49" t="s">
        <v>680</v>
      </c>
      <c r="F21" s="49" t="s">
        <v>680</v>
      </c>
    </row>
    <row r="22" spans="1:6" ht="16.05" customHeight="1" x14ac:dyDescent="0.3">
      <c r="A22" s="21" t="s">
        <v>699</v>
      </c>
      <c r="B22" s="20" t="s">
        <v>113</v>
      </c>
      <c r="C22" s="50" t="s">
        <v>680</v>
      </c>
      <c r="D22" s="50" t="s">
        <v>680</v>
      </c>
      <c r="E22" s="50" t="s">
        <v>680</v>
      </c>
      <c r="F22" s="50" t="s">
        <v>680</v>
      </c>
    </row>
    <row r="23" spans="1:6" ht="16.05" customHeight="1" x14ac:dyDescent="0.3">
      <c r="A23" s="21" t="s">
        <v>700</v>
      </c>
      <c r="B23" s="20" t="s">
        <v>113</v>
      </c>
      <c r="C23" s="50" t="s">
        <v>680</v>
      </c>
      <c r="D23" s="50" t="s">
        <v>680</v>
      </c>
      <c r="E23" s="50" t="s">
        <v>680</v>
      </c>
      <c r="F23" s="50" t="s">
        <v>680</v>
      </c>
    </row>
    <row r="24" spans="1:6" ht="16.05" customHeight="1" x14ac:dyDescent="0.3">
      <c r="A24" s="21" t="s">
        <v>701</v>
      </c>
      <c r="B24" s="20" t="s">
        <v>113</v>
      </c>
      <c r="C24" s="50" t="s">
        <v>680</v>
      </c>
      <c r="D24" s="50" t="s">
        <v>680</v>
      </c>
      <c r="E24" s="50" t="s">
        <v>680</v>
      </c>
      <c r="F24" s="50" t="s">
        <v>680</v>
      </c>
    </row>
    <row r="25" spans="1:6" ht="16.05" customHeight="1" x14ac:dyDescent="0.3">
      <c r="A25" s="21" t="s">
        <v>702</v>
      </c>
      <c r="B25" s="20" t="s">
        <v>113</v>
      </c>
      <c r="C25" s="50" t="s">
        <v>680</v>
      </c>
      <c r="D25" s="50" t="s">
        <v>680</v>
      </c>
      <c r="E25" s="50" t="s">
        <v>680</v>
      </c>
      <c r="F25" s="50" t="s">
        <v>680</v>
      </c>
    </row>
    <row r="26" spans="1:6" ht="16.05" customHeight="1" x14ac:dyDescent="0.3">
      <c r="A26" s="21" t="s">
        <v>703</v>
      </c>
      <c r="B26" s="20" t="s">
        <v>113</v>
      </c>
      <c r="C26" s="50" t="s">
        <v>680</v>
      </c>
      <c r="D26" s="50" t="s">
        <v>680</v>
      </c>
      <c r="E26" s="50" t="s">
        <v>680</v>
      </c>
      <c r="F26" s="50" t="s">
        <v>680</v>
      </c>
    </row>
    <row r="27" spans="1:6" ht="16.05" customHeight="1" x14ac:dyDescent="0.3">
      <c r="A27" s="23" t="s">
        <v>704</v>
      </c>
      <c r="B27" s="22" t="s">
        <v>134</v>
      </c>
      <c r="C27" s="51" t="s">
        <v>680</v>
      </c>
      <c r="D27" s="51" t="s">
        <v>680</v>
      </c>
      <c r="E27" s="51" t="s">
        <v>680</v>
      </c>
      <c r="F27" s="51" t="s">
        <v>680</v>
      </c>
    </row>
    <row r="28" spans="1:6" ht="16.05" customHeight="1" x14ac:dyDescent="0.3">
      <c r="A28" s="23" t="s">
        <v>705</v>
      </c>
      <c r="B28" s="22" t="s">
        <v>134</v>
      </c>
      <c r="C28" s="51" t="s">
        <v>680</v>
      </c>
      <c r="D28" s="51" t="s">
        <v>680</v>
      </c>
      <c r="E28" s="51" t="s">
        <v>680</v>
      </c>
      <c r="F28" s="51" t="s">
        <v>680</v>
      </c>
    </row>
    <row r="29" spans="1:6" ht="16.05" customHeight="1" x14ac:dyDescent="0.3">
      <c r="A29" s="23" t="s">
        <v>706</v>
      </c>
      <c r="B29" s="22" t="s">
        <v>134</v>
      </c>
      <c r="C29" s="51" t="s">
        <v>680</v>
      </c>
      <c r="D29" s="51" t="s">
        <v>680</v>
      </c>
      <c r="E29" s="51" t="s">
        <v>680</v>
      </c>
      <c r="F29" s="51" t="s">
        <v>680</v>
      </c>
    </row>
    <row r="30" spans="1:6" ht="16.05" customHeight="1" x14ac:dyDescent="0.3">
      <c r="A30" s="52" t="s">
        <v>707</v>
      </c>
      <c r="B30" s="53" t="s">
        <v>708</v>
      </c>
      <c r="C30" s="54" t="s">
        <v>680</v>
      </c>
      <c r="D30" s="54" t="s">
        <v>680</v>
      </c>
      <c r="E30" s="54" t="s">
        <v>680</v>
      </c>
      <c r="F30" s="54" t="s">
        <v>680</v>
      </c>
    </row>
    <row r="31" spans="1:6" ht="16.05" customHeight="1" x14ac:dyDescent="0.3">
      <c r="A31" s="52" t="s">
        <v>709</v>
      </c>
      <c r="B31" s="53" t="s">
        <v>708</v>
      </c>
      <c r="C31" s="54" t="s">
        <v>680</v>
      </c>
      <c r="D31" s="54" t="s">
        <v>680</v>
      </c>
      <c r="E31" s="54" t="s">
        <v>680</v>
      </c>
      <c r="F31" s="54" t="s">
        <v>680</v>
      </c>
    </row>
    <row r="32" spans="1:6" ht="16.05" customHeight="1" x14ac:dyDescent="0.3">
      <c r="A32" s="52" t="s">
        <v>710</v>
      </c>
      <c r="B32" s="53" t="s">
        <v>708</v>
      </c>
      <c r="C32" s="54" t="s">
        <v>680</v>
      </c>
      <c r="D32" s="54" t="s">
        <v>680</v>
      </c>
      <c r="E32" s="54" t="s">
        <v>680</v>
      </c>
      <c r="F32" s="54" t="s">
        <v>680</v>
      </c>
    </row>
    <row r="33" spans="1:6" ht="16.05" customHeight="1" x14ac:dyDescent="0.3">
      <c r="A33" s="52" t="s">
        <v>711</v>
      </c>
      <c r="B33" s="53" t="s">
        <v>708</v>
      </c>
      <c r="C33" s="54" t="s">
        <v>680</v>
      </c>
      <c r="D33" s="54" t="s">
        <v>680</v>
      </c>
      <c r="E33" s="54" t="s">
        <v>680</v>
      </c>
      <c r="F33" s="54" t="s">
        <v>680</v>
      </c>
    </row>
    <row r="34" spans="1:6" ht="16.05" customHeight="1" x14ac:dyDescent="0.3">
      <c r="A34" s="52" t="s">
        <v>712</v>
      </c>
      <c r="B34" s="53" t="s">
        <v>708</v>
      </c>
      <c r="C34" s="54" t="s">
        <v>680</v>
      </c>
      <c r="D34" s="54" t="s">
        <v>680</v>
      </c>
      <c r="E34" s="54" t="s">
        <v>680</v>
      </c>
      <c r="F34" s="54" t="s">
        <v>680</v>
      </c>
    </row>
    <row r="35" spans="1:6" ht="16.05" customHeight="1" x14ac:dyDescent="0.3">
      <c r="A35" s="52" t="s">
        <v>713</v>
      </c>
      <c r="B35" s="53" t="s">
        <v>708</v>
      </c>
      <c r="C35" s="54" t="s">
        <v>680</v>
      </c>
      <c r="D35" s="54" t="s">
        <v>680</v>
      </c>
      <c r="E35" s="54" t="s">
        <v>680</v>
      </c>
      <c r="F35" s="54" t="s">
        <v>680</v>
      </c>
    </row>
    <row r="36" spans="1:6" ht="16.05" customHeight="1" x14ac:dyDescent="0.3">
      <c r="A36" s="23" t="s">
        <v>714</v>
      </c>
      <c r="B36" s="22" t="s">
        <v>134</v>
      </c>
      <c r="C36" s="51" t="s">
        <v>680</v>
      </c>
      <c r="D36" s="51" t="s">
        <v>680</v>
      </c>
      <c r="E36" s="51" t="s">
        <v>680</v>
      </c>
      <c r="F36" s="51" t="s">
        <v>680</v>
      </c>
    </row>
    <row r="37" spans="1:6" ht="16.05" customHeight="1" x14ac:dyDescent="0.3">
      <c r="A37" s="23" t="s">
        <v>715</v>
      </c>
      <c r="B37" s="22" t="s">
        <v>134</v>
      </c>
      <c r="C37" s="51" t="s">
        <v>680</v>
      </c>
      <c r="D37" s="51" t="s">
        <v>680</v>
      </c>
      <c r="E37" s="51" t="s">
        <v>680</v>
      </c>
      <c r="F37" s="51" t="s">
        <v>680</v>
      </c>
    </row>
    <row r="38" spans="1:6" ht="16.05" customHeight="1" x14ac:dyDescent="0.3">
      <c r="A38" s="25" t="s">
        <v>716</v>
      </c>
      <c r="B38" s="24" t="s">
        <v>34</v>
      </c>
      <c r="C38" s="55" t="s">
        <v>680</v>
      </c>
      <c r="D38" s="55" t="s">
        <v>680</v>
      </c>
      <c r="E38" s="55" t="s">
        <v>680</v>
      </c>
      <c r="F38" s="55" t="s">
        <v>680</v>
      </c>
    </row>
    <row r="39" spans="1:6" ht="16.05" customHeight="1" x14ac:dyDescent="0.3">
      <c r="A39" s="25" t="s">
        <v>717</v>
      </c>
      <c r="B39" s="24" t="s">
        <v>34</v>
      </c>
      <c r="C39" s="55" t="s">
        <v>680</v>
      </c>
      <c r="D39" s="55" t="s">
        <v>680</v>
      </c>
      <c r="E39" s="55" t="s">
        <v>680</v>
      </c>
      <c r="F39" s="55" t="s">
        <v>680</v>
      </c>
    </row>
    <row r="40" spans="1:6" ht="16.05" customHeight="1" x14ac:dyDescent="0.3">
      <c r="A40" s="25" t="s">
        <v>718</v>
      </c>
      <c r="B40" s="24" t="s">
        <v>34</v>
      </c>
      <c r="C40" s="55" t="s">
        <v>680</v>
      </c>
      <c r="D40" s="55" t="s">
        <v>680</v>
      </c>
      <c r="E40" s="55" t="s">
        <v>680</v>
      </c>
      <c r="F40" s="55" t="s">
        <v>680</v>
      </c>
    </row>
    <row r="41" spans="1:6" ht="16.05" customHeight="1" x14ac:dyDescent="0.3">
      <c r="A41" s="25" t="s">
        <v>719</v>
      </c>
      <c r="B41" s="24" t="s">
        <v>34</v>
      </c>
      <c r="C41" s="55" t="s">
        <v>680</v>
      </c>
      <c r="D41" s="55" t="s">
        <v>680</v>
      </c>
      <c r="E41" s="55" t="s">
        <v>680</v>
      </c>
      <c r="F41" s="55" t="s">
        <v>680</v>
      </c>
    </row>
    <row r="42" spans="1:6" ht="16.05" customHeight="1" x14ac:dyDescent="0.3">
      <c r="A42" s="25" t="s">
        <v>720</v>
      </c>
      <c r="B42" s="24" t="s">
        <v>34</v>
      </c>
      <c r="C42" s="55" t="s">
        <v>680</v>
      </c>
      <c r="D42" s="55" t="s">
        <v>680</v>
      </c>
      <c r="E42" s="55" t="s">
        <v>680</v>
      </c>
      <c r="F42" s="55" t="s">
        <v>680</v>
      </c>
    </row>
    <row r="43" spans="1:6" ht="16.05" customHeight="1" x14ac:dyDescent="0.3">
      <c r="A43" s="27" t="s">
        <v>721</v>
      </c>
      <c r="B43" s="26" t="s">
        <v>722</v>
      </c>
      <c r="C43" s="56" t="s">
        <v>680</v>
      </c>
      <c r="D43" s="56" t="s">
        <v>680</v>
      </c>
      <c r="E43" s="56" t="s">
        <v>680</v>
      </c>
      <c r="F43" s="56" t="s">
        <v>680</v>
      </c>
    </row>
    <row r="44" spans="1:6" ht="16.05" customHeight="1" x14ac:dyDescent="0.3">
      <c r="A44" s="27" t="s">
        <v>723</v>
      </c>
      <c r="B44" s="26" t="s">
        <v>722</v>
      </c>
      <c r="C44" s="56" t="s">
        <v>680</v>
      </c>
      <c r="D44" s="56" t="s">
        <v>680</v>
      </c>
      <c r="E44" s="56" t="s">
        <v>680</v>
      </c>
      <c r="F44" s="56" t="s">
        <v>680</v>
      </c>
    </row>
    <row r="45" spans="1:6" ht="16.05" customHeight="1" x14ac:dyDescent="0.3">
      <c r="A45" s="27" t="s">
        <v>724</v>
      </c>
      <c r="B45" s="26" t="s">
        <v>722</v>
      </c>
      <c r="C45" s="56" t="s">
        <v>680</v>
      </c>
      <c r="D45" s="56" t="s">
        <v>680</v>
      </c>
      <c r="E45" s="56" t="s">
        <v>680</v>
      </c>
      <c r="F45" s="56" t="s">
        <v>680</v>
      </c>
    </row>
    <row r="46" spans="1:6" ht="16.05" customHeight="1" x14ac:dyDescent="0.3">
      <c r="A46" s="27" t="s">
        <v>725</v>
      </c>
      <c r="B46" s="26" t="s">
        <v>722</v>
      </c>
      <c r="C46" s="56" t="s">
        <v>680</v>
      </c>
      <c r="D46" s="56" t="s">
        <v>680</v>
      </c>
      <c r="E46" s="56" t="s">
        <v>680</v>
      </c>
      <c r="F46" s="56" t="s">
        <v>680</v>
      </c>
    </row>
    <row r="47" spans="1:6" ht="16.05" customHeight="1" x14ac:dyDescent="0.3">
      <c r="A47" s="27" t="s">
        <v>726</v>
      </c>
      <c r="B47" s="26" t="s">
        <v>722</v>
      </c>
      <c r="C47" s="56" t="s">
        <v>680</v>
      </c>
      <c r="D47" s="56" t="s">
        <v>680</v>
      </c>
      <c r="E47" s="56" t="s">
        <v>680</v>
      </c>
      <c r="F47" s="56" t="s">
        <v>680</v>
      </c>
    </row>
  </sheetData>
  <mergeCells count="1">
    <mergeCell ref="A1:F1"/>
  </mergeCells>
  <dataValidations count="1">
    <dataValidation type="list" allowBlank="1" showErrorMessage="1" errorTitle="Revision" error="Select ✅ when reviewed" sqref="C3:F50" xr:uid="{00000000-0002-0000-0300-000000000000}">
      <formula1>"✅,⬜"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26" customWidth="1"/>
    <col min="4" max="4" width="14" customWidth="1"/>
    <col min="5" max="6" width="32" customWidth="1"/>
  </cols>
  <sheetData>
    <row r="1" spans="1:6" ht="22.05" customHeight="1" x14ac:dyDescent="0.3">
      <c r="A1" s="71" t="s">
        <v>727</v>
      </c>
      <c r="B1" s="59"/>
      <c r="C1" s="59"/>
      <c r="D1" s="59"/>
      <c r="E1" s="59"/>
      <c r="F1" s="59"/>
    </row>
    <row r="2" spans="1:6" ht="19.95" customHeight="1" x14ac:dyDescent="0.3">
      <c r="A2" s="43" t="s">
        <v>208</v>
      </c>
      <c r="B2" s="43" t="s">
        <v>728</v>
      </c>
      <c r="C2" s="43" t="s">
        <v>729</v>
      </c>
      <c r="D2" s="43" t="s">
        <v>730</v>
      </c>
      <c r="E2" s="43" t="s">
        <v>731</v>
      </c>
      <c r="F2" s="43" t="s">
        <v>732</v>
      </c>
    </row>
    <row r="3" spans="1:6" ht="18" customHeight="1" x14ac:dyDescent="0.3">
      <c r="A3" s="45" t="s">
        <v>219</v>
      </c>
      <c r="B3" s="45" t="s">
        <v>733</v>
      </c>
      <c r="C3" s="45" t="s">
        <v>734</v>
      </c>
      <c r="D3" s="45" t="s">
        <v>735</v>
      </c>
      <c r="E3" s="45" t="s">
        <v>736</v>
      </c>
      <c r="F3" s="45" t="s">
        <v>737</v>
      </c>
    </row>
    <row r="4" spans="1:6" ht="18" customHeight="1" x14ac:dyDescent="0.3">
      <c r="A4" s="57" t="s">
        <v>245</v>
      </c>
      <c r="B4" s="57" t="s">
        <v>733</v>
      </c>
      <c r="C4" s="57" t="s">
        <v>738</v>
      </c>
      <c r="D4" s="57"/>
      <c r="E4" s="57"/>
      <c r="F4" s="57"/>
    </row>
    <row r="5" spans="1:6" ht="18" customHeight="1" x14ac:dyDescent="0.3">
      <c r="A5" s="45" t="s">
        <v>259</v>
      </c>
      <c r="B5" s="45" t="s">
        <v>733</v>
      </c>
      <c r="C5" s="45" t="s">
        <v>739</v>
      </c>
      <c r="D5" s="45"/>
      <c r="E5" s="45"/>
      <c r="F5" s="45"/>
    </row>
    <row r="6" spans="1:6" ht="18" customHeight="1" x14ac:dyDescent="0.3">
      <c r="A6" s="57"/>
      <c r="B6" s="57"/>
      <c r="C6" s="57"/>
      <c r="D6" s="57"/>
      <c r="E6" s="57"/>
      <c r="F6" s="57"/>
    </row>
    <row r="7" spans="1:6" ht="18" customHeight="1" x14ac:dyDescent="0.3">
      <c r="A7" s="45"/>
      <c r="B7" s="45"/>
      <c r="C7" s="45"/>
      <c r="D7" s="45"/>
      <c r="E7" s="45"/>
      <c r="F7" s="45"/>
    </row>
    <row r="8" spans="1:6" ht="18" customHeight="1" x14ac:dyDescent="0.3">
      <c r="A8" s="57"/>
      <c r="B8" s="57"/>
      <c r="C8" s="57"/>
      <c r="D8" s="57"/>
      <c r="E8" s="57"/>
      <c r="F8" s="57"/>
    </row>
    <row r="9" spans="1:6" ht="18" customHeight="1" x14ac:dyDescent="0.3">
      <c r="A9" s="45"/>
      <c r="B9" s="45"/>
      <c r="C9" s="45"/>
      <c r="D9" s="45"/>
      <c r="E9" s="45"/>
      <c r="F9" s="45"/>
    </row>
    <row r="10" spans="1:6" ht="18" customHeight="1" x14ac:dyDescent="0.3">
      <c r="A10" s="57"/>
      <c r="B10" s="57"/>
      <c r="C10" s="57"/>
      <c r="D10" s="57"/>
      <c r="E10" s="57"/>
      <c r="F10" s="57"/>
    </row>
    <row r="11" spans="1:6" ht="18" customHeight="1" x14ac:dyDescent="0.3">
      <c r="A11" s="45"/>
      <c r="B11" s="45"/>
      <c r="C11" s="45"/>
      <c r="D11" s="45"/>
      <c r="E11" s="45"/>
      <c r="F11" s="45"/>
    </row>
    <row r="12" spans="1:6" ht="18" customHeight="1" x14ac:dyDescent="0.3">
      <c r="A12" s="57"/>
      <c r="B12" s="57"/>
      <c r="C12" s="57"/>
      <c r="D12" s="57"/>
      <c r="E12" s="57"/>
      <c r="F12" s="57"/>
    </row>
    <row r="13" spans="1:6" ht="18" customHeight="1" x14ac:dyDescent="0.3">
      <c r="A13" s="45"/>
      <c r="B13" s="45"/>
      <c r="C13" s="45"/>
      <c r="D13" s="45"/>
      <c r="E13" s="45"/>
      <c r="F13" s="45"/>
    </row>
    <row r="14" spans="1:6" ht="18" customHeight="1" x14ac:dyDescent="0.3">
      <c r="A14" s="57"/>
      <c r="B14" s="57"/>
      <c r="C14" s="57"/>
      <c r="D14" s="57"/>
      <c r="E14" s="57"/>
      <c r="F14" s="57"/>
    </row>
    <row r="15" spans="1:6" ht="18" customHeight="1" x14ac:dyDescent="0.3">
      <c r="A15" s="45"/>
      <c r="B15" s="45"/>
      <c r="C15" s="45"/>
      <c r="D15" s="45"/>
      <c r="E15" s="45"/>
      <c r="F15" s="45"/>
    </row>
    <row r="16" spans="1:6" ht="18" customHeight="1" x14ac:dyDescent="0.3">
      <c r="A16" s="57"/>
      <c r="B16" s="57"/>
      <c r="C16" s="57"/>
      <c r="D16" s="57"/>
      <c r="E16" s="57"/>
      <c r="F16" s="57"/>
    </row>
    <row r="17" spans="1:6" ht="18" customHeight="1" x14ac:dyDescent="0.3">
      <c r="A17" s="45"/>
      <c r="B17" s="45"/>
      <c r="C17" s="45"/>
      <c r="D17" s="45"/>
      <c r="E17" s="45"/>
      <c r="F17" s="45"/>
    </row>
    <row r="18" spans="1:6" ht="18" customHeight="1" x14ac:dyDescent="0.3">
      <c r="A18" s="57"/>
      <c r="B18" s="57"/>
      <c r="C18" s="57"/>
      <c r="D18" s="57"/>
      <c r="E18" s="57"/>
      <c r="F18" s="57"/>
    </row>
    <row r="19" spans="1:6" ht="18" customHeight="1" x14ac:dyDescent="0.3">
      <c r="A19" s="45"/>
      <c r="B19" s="45"/>
      <c r="C19" s="45"/>
      <c r="D19" s="45"/>
      <c r="E19" s="45"/>
      <c r="F19" s="45"/>
    </row>
    <row r="20" spans="1:6" ht="18" customHeight="1" x14ac:dyDescent="0.3">
      <c r="A20" s="57"/>
      <c r="B20" s="57"/>
      <c r="C20" s="57"/>
      <c r="D20" s="57"/>
      <c r="E20" s="57"/>
      <c r="F20" s="57"/>
    </row>
    <row r="21" spans="1:6" ht="18" customHeight="1" x14ac:dyDescent="0.3">
      <c r="A21" s="45"/>
      <c r="B21" s="45"/>
      <c r="C21" s="45"/>
      <c r="D21" s="45"/>
      <c r="E21" s="45"/>
      <c r="F21" s="45"/>
    </row>
    <row r="22" spans="1:6" ht="18" customHeight="1" x14ac:dyDescent="0.3">
      <c r="A22" s="57"/>
      <c r="B22" s="57"/>
      <c r="C22" s="57"/>
      <c r="D22" s="57"/>
      <c r="E22" s="57"/>
      <c r="F22" s="57"/>
    </row>
    <row r="23" spans="1:6" ht="18" customHeight="1" x14ac:dyDescent="0.3">
      <c r="A23" s="45"/>
      <c r="B23" s="45"/>
      <c r="C23" s="45"/>
      <c r="D23" s="45"/>
      <c r="E23" s="45"/>
      <c r="F23" s="45"/>
    </row>
    <row r="24" spans="1:6" ht="18" customHeight="1" x14ac:dyDescent="0.3">
      <c r="A24" s="57"/>
      <c r="B24" s="57"/>
      <c r="C24" s="57"/>
      <c r="D24" s="57"/>
      <c r="E24" s="57"/>
      <c r="F24" s="57"/>
    </row>
    <row r="25" spans="1:6" ht="18" customHeight="1" x14ac:dyDescent="0.3">
      <c r="A25" s="45"/>
      <c r="B25" s="45"/>
      <c r="C25" s="45"/>
      <c r="D25" s="45"/>
      <c r="E25" s="45"/>
      <c r="F25" s="45"/>
    </row>
    <row r="26" spans="1:6" ht="18" customHeight="1" x14ac:dyDescent="0.3">
      <c r="A26" s="57"/>
      <c r="B26" s="57"/>
      <c r="C26" s="57"/>
      <c r="D26" s="57"/>
      <c r="E26" s="57"/>
      <c r="F26" s="57"/>
    </row>
    <row r="27" spans="1:6" ht="18" customHeight="1" x14ac:dyDescent="0.3">
      <c r="A27" s="45"/>
      <c r="B27" s="45"/>
      <c r="C27" s="45"/>
      <c r="D27" s="45"/>
      <c r="E27" s="45"/>
      <c r="F27" s="45"/>
    </row>
    <row r="28" spans="1:6" ht="18" customHeight="1" x14ac:dyDescent="0.3">
      <c r="A28" s="57"/>
      <c r="B28" s="57"/>
      <c r="C28" s="57"/>
      <c r="D28" s="57"/>
      <c r="E28" s="57"/>
      <c r="F28" s="57"/>
    </row>
    <row r="29" spans="1:6" ht="18" customHeight="1" x14ac:dyDescent="0.3">
      <c r="A29" s="45"/>
      <c r="B29" s="45"/>
      <c r="C29" s="45"/>
      <c r="D29" s="45"/>
      <c r="E29" s="45"/>
      <c r="F29" s="45"/>
    </row>
    <row r="30" spans="1:6" ht="18" customHeight="1" x14ac:dyDescent="0.3">
      <c r="A30" s="57"/>
      <c r="B30" s="57"/>
      <c r="C30" s="57"/>
      <c r="D30" s="57"/>
      <c r="E30" s="57"/>
      <c r="F30" s="57"/>
    </row>
    <row r="31" spans="1:6" ht="18" customHeight="1" x14ac:dyDescent="0.3">
      <c r="A31" s="45"/>
      <c r="B31" s="45"/>
      <c r="C31" s="45"/>
      <c r="D31" s="45"/>
      <c r="E31" s="45"/>
      <c r="F31" s="45"/>
    </row>
    <row r="32" spans="1:6" ht="18" customHeight="1" x14ac:dyDescent="0.3">
      <c r="A32" s="57"/>
      <c r="B32" s="57"/>
      <c r="C32" s="57"/>
      <c r="D32" s="57"/>
      <c r="E32" s="57"/>
      <c r="F32" s="57"/>
    </row>
    <row r="33" spans="1:6" ht="18" customHeight="1" x14ac:dyDescent="0.3">
      <c r="A33" s="45"/>
      <c r="B33" s="45"/>
      <c r="C33" s="45"/>
      <c r="D33" s="45"/>
      <c r="E33" s="45"/>
      <c r="F33" s="45"/>
    </row>
    <row r="34" spans="1:6" ht="18" customHeight="1" x14ac:dyDescent="0.3">
      <c r="A34" s="57"/>
      <c r="B34" s="57"/>
      <c r="C34" s="57"/>
      <c r="D34" s="57"/>
      <c r="E34" s="57"/>
      <c r="F34" s="57"/>
    </row>
    <row r="35" spans="1:6" ht="18" customHeight="1" x14ac:dyDescent="0.3">
      <c r="A35" s="45"/>
      <c r="B35" s="45"/>
      <c r="C35" s="45"/>
      <c r="D35" s="45"/>
      <c r="E35" s="45"/>
      <c r="F35" s="45"/>
    </row>
    <row r="36" spans="1:6" ht="18" customHeight="1" x14ac:dyDescent="0.3">
      <c r="A36" s="57"/>
      <c r="B36" s="57"/>
      <c r="C36" s="57"/>
      <c r="D36" s="57"/>
      <c r="E36" s="57"/>
      <c r="F36" s="57"/>
    </row>
    <row r="37" spans="1:6" ht="18" customHeight="1" x14ac:dyDescent="0.3">
      <c r="A37" s="45"/>
      <c r="B37" s="45"/>
      <c r="C37" s="45"/>
      <c r="D37" s="45"/>
      <c r="E37" s="45"/>
      <c r="F37" s="45"/>
    </row>
    <row r="38" spans="1:6" ht="18" customHeight="1" x14ac:dyDescent="0.3">
      <c r="A38" s="57"/>
      <c r="B38" s="57"/>
      <c r="C38" s="57"/>
      <c r="D38" s="57"/>
      <c r="E38" s="57"/>
      <c r="F38" s="57"/>
    </row>
    <row r="39" spans="1:6" ht="18" customHeight="1" x14ac:dyDescent="0.3">
      <c r="A39" s="45"/>
      <c r="B39" s="45"/>
      <c r="C39" s="45"/>
      <c r="D39" s="45"/>
      <c r="E39" s="45"/>
      <c r="F39" s="45"/>
    </row>
    <row r="40" spans="1:6" ht="18" customHeight="1" x14ac:dyDescent="0.3">
      <c r="A40" s="57"/>
      <c r="B40" s="57"/>
      <c r="C40" s="57"/>
      <c r="D40" s="57"/>
      <c r="E40" s="57"/>
      <c r="F40" s="57"/>
    </row>
    <row r="41" spans="1:6" ht="18" customHeight="1" x14ac:dyDescent="0.3">
      <c r="A41" s="45"/>
      <c r="B41" s="45"/>
      <c r="C41" s="45"/>
      <c r="D41" s="45"/>
      <c r="E41" s="45"/>
      <c r="F41" s="45"/>
    </row>
    <row r="42" spans="1:6" ht="18" customHeight="1" x14ac:dyDescent="0.3">
      <c r="A42" s="57"/>
      <c r="B42" s="57"/>
      <c r="C42" s="57"/>
      <c r="D42" s="57"/>
      <c r="E42" s="57"/>
      <c r="F42" s="57"/>
    </row>
    <row r="43" spans="1:6" ht="18" customHeight="1" x14ac:dyDescent="0.3">
      <c r="A43" s="45"/>
      <c r="B43" s="45"/>
      <c r="C43" s="45"/>
      <c r="D43" s="45"/>
      <c r="E43" s="45"/>
      <c r="F43" s="45"/>
    </row>
    <row r="44" spans="1:6" ht="18" customHeight="1" x14ac:dyDescent="0.3">
      <c r="A44" s="57"/>
      <c r="B44" s="57"/>
      <c r="C44" s="57"/>
      <c r="D44" s="57"/>
      <c r="E44" s="57"/>
      <c r="F44" s="57"/>
    </row>
    <row r="45" spans="1:6" ht="18" customHeight="1" x14ac:dyDescent="0.3">
      <c r="A45" s="45"/>
      <c r="B45" s="45"/>
      <c r="C45" s="45"/>
      <c r="D45" s="45"/>
      <c r="E45" s="45"/>
      <c r="F45" s="45"/>
    </row>
    <row r="46" spans="1:6" ht="18" customHeight="1" x14ac:dyDescent="0.3">
      <c r="A46" s="57"/>
      <c r="B46" s="57"/>
      <c r="C46" s="57"/>
      <c r="D46" s="57"/>
      <c r="E46" s="57"/>
      <c r="F46" s="57"/>
    </row>
    <row r="47" spans="1:6" ht="18" customHeight="1" x14ac:dyDescent="0.3">
      <c r="A47" s="45"/>
      <c r="B47" s="45"/>
      <c r="C47" s="45"/>
      <c r="D47" s="45"/>
      <c r="E47" s="45"/>
      <c r="F47" s="45"/>
    </row>
    <row r="48" spans="1:6" ht="18" customHeight="1" x14ac:dyDescent="0.3">
      <c r="A48" s="57"/>
      <c r="B48" s="57"/>
      <c r="C48" s="57"/>
      <c r="D48" s="57"/>
      <c r="E48" s="57"/>
      <c r="F48" s="57"/>
    </row>
    <row r="49" spans="1:6" ht="18" customHeight="1" x14ac:dyDescent="0.3">
      <c r="A49" s="45"/>
      <c r="B49" s="45"/>
      <c r="C49" s="45"/>
      <c r="D49" s="45"/>
      <c r="E49" s="45"/>
      <c r="F49" s="45"/>
    </row>
    <row r="50" spans="1:6" ht="18" customHeight="1" x14ac:dyDescent="0.3">
      <c r="A50" s="57"/>
      <c r="B50" s="57"/>
      <c r="C50" s="57"/>
      <c r="D50" s="57"/>
      <c r="E50" s="57"/>
      <c r="F50" s="57"/>
    </row>
    <row r="51" spans="1:6" ht="18" customHeight="1" x14ac:dyDescent="0.3">
      <c r="A51" s="45"/>
      <c r="B51" s="45"/>
      <c r="C51" s="45"/>
      <c r="D51" s="45"/>
      <c r="E51" s="45"/>
      <c r="F51" s="45"/>
    </row>
    <row r="52" spans="1:6" ht="18" customHeight="1" x14ac:dyDescent="0.3">
      <c r="A52" s="57"/>
      <c r="B52" s="57"/>
      <c r="C52" s="57"/>
      <c r="D52" s="57"/>
      <c r="E52" s="57"/>
      <c r="F52" s="57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showGridLines="0" workbookViewId="0"/>
  </sheetViews>
  <sheetFormatPr defaultRowHeight="14.4" x14ac:dyDescent="0.3"/>
  <cols>
    <col min="1" max="1" width="44" customWidth="1"/>
    <col min="2" max="2" width="12" customWidth="1"/>
    <col min="3" max="3" width="18" customWidth="1"/>
    <col min="4" max="4" width="16" customWidth="1"/>
    <col min="5" max="5" width="40" customWidth="1"/>
  </cols>
  <sheetData>
    <row r="1" spans="1:5" ht="22.05" customHeight="1" x14ac:dyDescent="0.3">
      <c r="A1" s="71" t="s">
        <v>740</v>
      </c>
      <c r="B1" s="59"/>
      <c r="C1" s="59"/>
      <c r="D1" s="59"/>
      <c r="E1" s="59"/>
    </row>
    <row r="2" spans="1:5" ht="19.95" customHeight="1" x14ac:dyDescent="0.3">
      <c r="A2" s="43" t="s">
        <v>741</v>
      </c>
      <c r="B2" s="43" t="s">
        <v>742</v>
      </c>
      <c r="C2" s="43" t="s">
        <v>743</v>
      </c>
      <c r="D2" s="43" t="s">
        <v>744</v>
      </c>
      <c r="E2" s="43" t="s">
        <v>745</v>
      </c>
    </row>
    <row r="3" spans="1:5" ht="18" customHeight="1" x14ac:dyDescent="0.3">
      <c r="A3" s="15" t="s">
        <v>746</v>
      </c>
      <c r="B3" s="14" t="s">
        <v>747</v>
      </c>
      <c r="C3" s="14">
        <v>0</v>
      </c>
      <c r="D3" s="14"/>
      <c r="E3" s="15"/>
    </row>
    <row r="4" spans="1:5" ht="18" customHeight="1" x14ac:dyDescent="0.3">
      <c r="A4" s="17" t="s">
        <v>748</v>
      </c>
      <c r="B4" s="16" t="s">
        <v>54</v>
      </c>
      <c r="C4" s="16">
        <v>0</v>
      </c>
      <c r="D4" s="16"/>
      <c r="E4" s="17"/>
    </row>
    <row r="5" spans="1:5" ht="18" customHeight="1" x14ac:dyDescent="0.3">
      <c r="A5" s="19" t="s">
        <v>749</v>
      </c>
      <c r="B5" s="18" t="s">
        <v>54</v>
      </c>
      <c r="C5" s="18">
        <v>0</v>
      </c>
      <c r="D5" s="18"/>
      <c r="E5" s="19"/>
    </row>
    <row r="6" spans="1:5" ht="18" customHeight="1" x14ac:dyDescent="0.3">
      <c r="A6" s="21" t="s">
        <v>750</v>
      </c>
      <c r="B6" s="20" t="s">
        <v>747</v>
      </c>
      <c r="C6" s="20">
        <v>0</v>
      </c>
      <c r="D6" s="20"/>
      <c r="E6" s="21"/>
    </row>
    <row r="7" spans="1:5" ht="18" customHeight="1" x14ac:dyDescent="0.3">
      <c r="A7" s="23" t="s">
        <v>751</v>
      </c>
      <c r="B7" s="22" t="s">
        <v>54</v>
      </c>
      <c r="C7" s="22">
        <v>0</v>
      </c>
      <c r="D7" s="22"/>
      <c r="E7" s="23"/>
    </row>
    <row r="8" spans="1:5" ht="18" customHeight="1" x14ac:dyDescent="0.3">
      <c r="A8" s="25" t="s">
        <v>752</v>
      </c>
      <c r="B8" s="24" t="s">
        <v>54</v>
      </c>
      <c r="C8" s="24">
        <v>0</v>
      </c>
      <c r="D8" s="24"/>
      <c r="E8" s="25"/>
    </row>
    <row r="9" spans="1:5" ht="18" customHeight="1" x14ac:dyDescent="0.3">
      <c r="A9" s="27" t="s">
        <v>753</v>
      </c>
      <c r="B9" s="26" t="s">
        <v>54</v>
      </c>
      <c r="C9" s="26">
        <v>0</v>
      </c>
      <c r="D9" s="26"/>
      <c r="E9" s="27"/>
    </row>
    <row r="10" spans="1:5" ht="18" customHeight="1" x14ac:dyDescent="0.3">
      <c r="A10" s="15" t="s">
        <v>754</v>
      </c>
      <c r="B10" s="14" t="s">
        <v>54</v>
      </c>
      <c r="C10" s="14">
        <v>0</v>
      </c>
      <c r="D10" s="14"/>
      <c r="E10" s="15"/>
    </row>
    <row r="11" spans="1:5" ht="18" customHeight="1" x14ac:dyDescent="0.3">
      <c r="A11" s="17" t="s">
        <v>755</v>
      </c>
      <c r="B11" s="16" t="s">
        <v>54</v>
      </c>
      <c r="C11" s="16">
        <v>0</v>
      </c>
      <c r="D11" s="16"/>
      <c r="E11" s="17"/>
    </row>
    <row r="12" spans="1:5" ht="18" customHeight="1" x14ac:dyDescent="0.3">
      <c r="A12" s="19" t="s">
        <v>756</v>
      </c>
      <c r="B12" s="18" t="s">
        <v>54</v>
      </c>
      <c r="C12" s="18">
        <v>0</v>
      </c>
      <c r="D12" s="18"/>
      <c r="E12" s="19"/>
    </row>
    <row r="13" spans="1:5" ht="18" customHeight="1" x14ac:dyDescent="0.3">
      <c r="A13" s="21" t="s">
        <v>757</v>
      </c>
      <c r="B13" s="20" t="s">
        <v>54</v>
      </c>
      <c r="C13" s="20">
        <v>0</v>
      </c>
      <c r="D13" s="20"/>
      <c r="E13" s="21"/>
    </row>
    <row r="14" spans="1:5" ht="18" customHeight="1" x14ac:dyDescent="0.3">
      <c r="A14" s="23" t="s">
        <v>758</v>
      </c>
      <c r="B14" s="22" t="s">
        <v>54</v>
      </c>
      <c r="C14" s="22">
        <v>0</v>
      </c>
      <c r="D14" s="22"/>
      <c r="E14" s="23"/>
    </row>
    <row r="15" spans="1:5" ht="18" customHeight="1" x14ac:dyDescent="0.3">
      <c r="A15" s="25" t="s">
        <v>759</v>
      </c>
      <c r="B15" s="24" t="s">
        <v>54</v>
      </c>
      <c r="C15" s="24">
        <v>0</v>
      </c>
      <c r="D15" s="24"/>
      <c r="E15" s="25"/>
    </row>
    <row r="18" spans="1:5" ht="16.05" customHeight="1" x14ac:dyDescent="0.3">
      <c r="A18" s="73" t="s">
        <v>760</v>
      </c>
      <c r="B18" s="59"/>
      <c r="C18" s="59"/>
      <c r="D18" s="59"/>
      <c r="E18" s="59"/>
    </row>
    <row r="19" spans="1:5" ht="16.05" customHeight="1" x14ac:dyDescent="0.3">
      <c r="A19" s="72" t="s">
        <v>761</v>
      </c>
      <c r="B19" s="59"/>
      <c r="C19" s="59"/>
      <c r="D19" s="59"/>
      <c r="E19" s="59"/>
    </row>
    <row r="20" spans="1:5" ht="16.05" customHeight="1" x14ac:dyDescent="0.3">
      <c r="A20" s="72" t="s">
        <v>762</v>
      </c>
      <c r="B20" s="59"/>
      <c r="C20" s="59"/>
      <c r="D20" s="59"/>
      <c r="E20" s="59"/>
    </row>
    <row r="21" spans="1:5" ht="16.05" customHeight="1" x14ac:dyDescent="0.3">
      <c r="A21" s="72" t="s">
        <v>763</v>
      </c>
      <c r="B21" s="59"/>
      <c r="C21" s="59"/>
      <c r="D21" s="59"/>
      <c r="E21" s="59"/>
    </row>
    <row r="22" spans="1:5" ht="16.05" customHeight="1" x14ac:dyDescent="0.3">
      <c r="A22" s="72" t="s">
        <v>764</v>
      </c>
      <c r="B22" s="59"/>
      <c r="C22" s="59"/>
      <c r="D22" s="59"/>
      <c r="E22" s="59"/>
    </row>
    <row r="23" spans="1:5" ht="16.05" customHeight="1" x14ac:dyDescent="0.3">
      <c r="A23" s="72"/>
      <c r="B23" s="59"/>
      <c r="C23" s="59"/>
      <c r="D23" s="59"/>
      <c r="E23" s="59"/>
    </row>
    <row r="24" spans="1:5" ht="16.05" customHeight="1" x14ac:dyDescent="0.3">
      <c r="A24" s="73" t="s">
        <v>765</v>
      </c>
      <c r="B24" s="59"/>
      <c r="C24" s="59"/>
      <c r="D24" s="59"/>
      <c r="E24" s="59"/>
    </row>
    <row r="25" spans="1:5" ht="16.05" customHeight="1" x14ac:dyDescent="0.3">
      <c r="A25" s="72" t="s">
        <v>766</v>
      </c>
      <c r="B25" s="59"/>
      <c r="C25" s="59"/>
      <c r="D25" s="59"/>
      <c r="E25" s="59"/>
    </row>
    <row r="26" spans="1:5" ht="16.05" customHeight="1" x14ac:dyDescent="0.3">
      <c r="A26" s="72" t="s">
        <v>767</v>
      </c>
      <c r="B26" s="59"/>
      <c r="C26" s="59"/>
      <c r="D26" s="59"/>
      <c r="E26" s="59"/>
    </row>
  </sheetData>
  <mergeCells count="10">
    <mergeCell ref="A19:E19"/>
    <mergeCell ref="A1:E1"/>
    <mergeCell ref="A23:E23"/>
    <mergeCell ref="A22:E22"/>
    <mergeCell ref="A18:E18"/>
    <mergeCell ref="A21:E21"/>
    <mergeCell ref="A20:E20"/>
    <mergeCell ref="A24:E24"/>
    <mergeCell ref="A26:E26"/>
    <mergeCell ref="A25:E25"/>
  </mergeCells>
  <dataValidations count="1">
    <dataValidation type="list" allowBlank="1" showErrorMessage="1" errorTitle="Ready" error="Choose story readiness" sqref="B3:B18" xr:uid="{00000000-0002-0000-0500-000000000000}">
      <formula1>"✅ Ready,🔄 In Progress,⬜ Not Started"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🗺 Master Roadmap</vt:lpstr>
      <vt:lpstr>📅 Daily Planner</vt:lpstr>
      <vt:lpstr>🔁 Revision Tracker</vt:lpstr>
      <vt:lpstr>🎤 Mock Interviews</vt:lpstr>
      <vt:lpstr>💬 Behavioral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Mriganka Sarkar</cp:lastModifiedBy>
  <dcterms:created xsi:type="dcterms:W3CDTF">2026-07-21T07:06:51Z</dcterms:created>
  <dcterms:modified xsi:type="dcterms:W3CDTF">2026-07-21T17:27:21Z</dcterms:modified>
</cp:coreProperties>
</file>